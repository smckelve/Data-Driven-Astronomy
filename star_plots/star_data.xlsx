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bc01a48f9a1deb/Documents/cs50p_project/astronomy/"/>
    </mc:Choice>
  </mc:AlternateContent>
  <xr:revisionPtr revIDLastSave="152" documentId="8_{D4DCC9BF-7597-4987-BAA5-E94797191A8F}" xr6:coauthVersionLast="47" xr6:coauthVersionMax="47" xr10:uidLastSave="{F42CED5B-0DE5-4567-8728-65DEAF819EFF}"/>
  <bookViews>
    <workbookView xWindow="-120" yWindow="-120" windowWidth="24240" windowHeight="13020" activeTab="1" xr2:uid="{A7FDF84F-3ABB-4197-B495-9320BA8DC5FD}"/>
  </bookViews>
  <sheets>
    <sheet name="Charts" sheetId="1" r:id="rId1"/>
    <sheet name="Worksheet" sheetId="3" r:id="rId2"/>
    <sheet name="cleaned_star_data" sheetId="2" r:id="rId3"/>
  </sheets>
  <definedNames>
    <definedName name="ExternalData_1" localSheetId="2" hidden="1">'cleaned_star_data'!$A$1:$G$241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3" l="1" a="1"/>
  <c r="I1" i="3" s="1"/>
  <c r="A1" i="3" a="1"/>
  <c r="H1" i="3" a="1"/>
  <c r="J1" i="3" a="1"/>
  <c r="J2" i="3" a="1"/>
  <c r="J3" i="3" a="1"/>
  <c r="J4" i="3" a="1"/>
  <c r="J5" i="3" a="1"/>
  <c r="J5" i="3" l="1"/>
  <c r="J4" i="3"/>
  <c r="B4" i="1" s="1" a="1"/>
  <c r="B4" i="1" s="1"/>
  <c r="J3" i="3"/>
  <c r="B3" i="1" s="1" a="1"/>
  <c r="B3" i="1" s="1"/>
  <c r="J2" i="3"/>
  <c r="B2" i="1" s="1" a="1"/>
  <c r="B2" i="1" s="1"/>
  <c r="J1" i="3"/>
  <c r="H1" i="3"/>
  <c r="A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2E8538-F433-46F0-B758-6F674D8B3462}" keepAlive="1" name="Query - cleaned_star_data" description="Connection to the 'cleaned_star_data' query in the workbook." type="5" refreshedVersion="8" background="1" saveData="1">
    <dbPr connection="Provider=Microsoft.Mashup.OleDb.1;Data Source=$Workbook$;Location=cleaned_star_data;Extended Properties=&quot;&quot;" command="SELECT * FROM [cleaned_star_dat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9">
    <bk>
      <extLst>
        <ext uri="{3e2802c4-a4d2-4d8b-9148-e3be6c30e623}">
          <xlrd:rvb i="2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</futureMetadata>
  <cellMetadata count="1">
    <bk>
      <rc t="1" v="0"/>
    </bk>
  </cellMetadata>
  <valueMetadata count="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star_df = xl(%P2%)</code>
    </pythonScript>
    <pythonScript>
      <code>star_df['Star type'].describe()</code>
    </pythonScript>
    <pythonScript>
      <code>star_df['Absolute magnitude(Mv)'].mean()</code>
    </pythonScript>
    <pythonScript>
      <code>star_df['Radius(R/Ro)'].mean()</code>
    </pythonScript>
    <pythonScript>
      <code>star_df['Luminosity(L/Lo)'].mean()</code>
    </pythonScript>
    <pythonScript>
      <code>star_df['Temperature (K)'].mean()</code>
    </pythonScript>
    <pythonScript>
      <code>star_df['Star type'].value_counts().plot(kind = 'bar')</code>
    </pythonScript>
  </pythonScripts>
</python>
</file>

<file path=xl/sharedStrings.xml><?xml version="1.0" encoding="utf-8"?>
<sst xmlns="http://schemas.openxmlformats.org/spreadsheetml/2006/main" count="492" uniqueCount="24">
  <si>
    <t>Temperature (K)</t>
  </si>
  <si>
    <t>Luminosity(L/Lo)</t>
  </si>
  <si>
    <t>Radius(R/Ro)</t>
  </si>
  <si>
    <t>Absolute magnitude(Mv)</t>
  </si>
  <si>
    <t>Star type</t>
  </si>
  <si>
    <t>Star color</t>
  </si>
  <si>
    <t>Spectral Class</t>
  </si>
  <si>
    <t>Red</t>
  </si>
  <si>
    <t>M</t>
  </si>
  <si>
    <t>Blue-White</t>
  </si>
  <si>
    <t>B</t>
  </si>
  <si>
    <t>White</t>
  </si>
  <si>
    <t>A</t>
  </si>
  <si>
    <t>F</t>
  </si>
  <si>
    <t>Yellow-White</t>
  </si>
  <si>
    <t>Blue</t>
  </si>
  <si>
    <t>O</t>
  </si>
  <si>
    <t>K</t>
  </si>
  <si>
    <t>G</t>
  </si>
  <si>
    <t>Mean Absolute magnitude (Mv)</t>
  </si>
  <si>
    <t>Mean Radius (R/Ro)</t>
  </si>
  <si>
    <t>Mean Luminosity (L/Lo)</t>
  </si>
  <si>
    <t>Mean Temperature (K)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</si>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</sst>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06/relationships/richStyles" Target="richData/rich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Array" Target="richData/rdarray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microsoft.com/office/2017/06/relationships/rdSupportingPropertyBag" Target="richData/rdsupportingpropertybag.xml"/><Relationship Id="rId10" Type="http://schemas.microsoft.com/office/2017/06/relationships/rdRichValue" Target="richData/rdrichvalue.xml"/><Relationship Id="rId19" Type="http://schemas.microsoft.com/office/2023/09/relationships/Python" Target="python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microsoft.com/office/2017/06/relationships/rdSupportingPropertyBagStructure" Target="richData/rdsupportingpropertybagstructure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7A4887-5521-4DED-96B8-A287769E20E8}" autoFormatId="16" applyNumberFormats="0" applyBorderFormats="0" applyFontFormats="0" applyPatternFormats="0" applyAlignmentFormats="0" applyWidthHeightFormats="0">
  <queryTableRefresh nextId="8">
    <queryTableFields count="7">
      <queryTableField id="1" name="Temperature (K)" tableColumnId="1"/>
      <queryTableField id="2" name="Luminosity(L/Lo)" tableColumnId="2"/>
      <queryTableField id="3" name="Radius(R/Ro)" tableColumnId="3"/>
      <queryTableField id="4" name="Absolute magnitude(Mv)" tableColumnId="4"/>
      <queryTableField id="5" name="Star type" tableColumnId="5"/>
      <queryTableField id="6" name="Star color" tableColumnId="6"/>
      <queryTableField id="7" name="Spectral Class" tableColumnId="7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2" c="7">
    <v t="s">Temperature (K)</v>
    <v t="s">Luminosity(L/Lo)</v>
    <v t="s">Radius(R/Ro)</v>
    <v t="s">Absolute magnitude(Mv)</v>
    <v t="s">Star type</v>
    <v t="s">Star color</v>
    <v t="s">Spectral Class</v>
    <v>3068</v>
    <v>2.4000000000000002E-3</v>
    <v>0.17</v>
    <v>16.12</v>
    <v>0</v>
    <v t="s">Red</v>
    <v t="s">M</v>
    <v>3042</v>
    <v>5.0000000000000001E-4</v>
    <v>0.1542</v>
    <v>16.600000000000001</v>
    <v>0</v>
    <v t="s">Red</v>
    <v t="s">M</v>
    <v>2600</v>
    <v>3.0000000000000003E-4</v>
    <v>0.10200000000000001</v>
    <v>18.7</v>
    <v>0</v>
    <v t="s">Red</v>
    <v t="s">M</v>
    <v>2800</v>
    <v>2.0000000000000001E-4</v>
    <v>0.16</v>
    <v>16.649999999999999</v>
    <v>0</v>
    <v t="s">Red</v>
    <v t="s">M</v>
    <v>1939</v>
    <v>1.3799999999999999E-4</v>
    <v>0.10300000000000001</v>
    <v>20.059999999999999</v>
    <v>0</v>
    <v t="s">Red</v>
    <v t="s">M</v>
    <v t="s">...</v>
    <v t="s">...</v>
    <v t="s">...</v>
    <v t="s">...</v>
    <v t="s">...</v>
    <v t="s">...</v>
    <v t="s">...</v>
    <v>38940</v>
    <v>374830</v>
    <v>1356</v>
    <v>-9.93</v>
    <v>5</v>
    <v t="s">Blue</v>
    <v t="s">O</v>
    <v>30839</v>
    <v>834042</v>
    <v>1194</v>
    <v>-10.63</v>
    <v>5</v>
    <v t="s">Blue</v>
    <v t="s">O</v>
    <v>8829</v>
    <v>537493</v>
    <v>1423</v>
    <v>-10.73</v>
    <v>5</v>
    <v t="s">White</v>
    <v t="s">A</v>
    <v>9235</v>
    <v>404940</v>
    <v>1112</v>
    <v>-11.23</v>
    <v>5</v>
    <v t="s">White</v>
    <v t="s">A</v>
    <v>37882</v>
    <v>294903</v>
    <v>1783</v>
    <v>-7.8</v>
    <v>5</v>
    <v t="s">Blue</v>
    <v t="s">O</v>
  </a>
  <a r="9" c="2">
    <v t="s"/>
    <v t="s">Star type</v>
    <v t="s">count</v>
    <v>240</v>
    <v t="s">mean</v>
    <v>2.5</v>
    <v t="s">std</v>
    <v>1.7113942540767833</v>
    <v t="s">min</v>
    <v>0</v>
    <v t="s">25%</v>
    <v>1</v>
    <v t="s">50%</v>
    <v>2.5</v>
    <v t="s">75%</v>
    <v>4</v>
    <v t="s">max</v>
    <v>5</v>
  </a>
  <a r="2">
    <v>543</v>
    <v>427</v>
  </a>
</arrayData>
</file>

<file path=xl/richData/rdrichvalue.xml><?xml version="1.0" encoding="utf-8"?>
<rvData xmlns="http://schemas.microsoft.com/office/spreadsheetml/2017/richdata" count="16">
  <rv s="0">
    <v>0</v>
  </rv>
  <rv s="1">
    <v>DataFrame</v>
    <v>1</v>
    <v>0</v>
  </rv>
  <rv s="2">
    <v>&lt;class 'pandas.core.frame.DataFrame'&gt;</v>
    <v>DataFrame</v>
    <v xml:space="preserve">     Temperature (K)  Luminosity(L/Lo)  Radius(R/Ro)  Absolute magnitude(Mv)  \
0               3068          0.002400        0.1700                   16.12   
1               3042          0.000500        0.1542                   16.60   
2           ...</v>
    <v>1</v>
  </rv>
  <rv s="0">
    <v>1</v>
  </rv>
  <rv s="1">
    <v>Series</v>
    <v>3</v>
    <v>3</v>
  </rv>
  <rv s="2">
    <v>&lt;class 'pandas.core.series.Series'&gt;</v>
    <v>Series</v>
    <v>count    240.000000
mean       2.500000
std        1.711394
min        0.000000
25%        1.000000
50%        2.500000
75%        4.000000
max        5.000000
Name: Star type, dtype: float64</v>
    <v>4</v>
  </rv>
  <rv s="3">
    <v>1</v>
    <v>8</v>
    <v>8</v>
    <v>1</v>
  </rv>
  <rv s="4">
    <fb>4.3823958333333337</fb>
    <v>&lt;class 'numpy.float64'&gt;</v>
    <v>float64</v>
    <v>4.382395833333334</v>
    <v>4.3823958333333337</v>
  </rv>
  <rv s="4">
    <fb>237.15778137500001</fb>
    <v>&lt;class 'numpy.float64'&gt;</v>
    <v>float64</v>
    <v>237.157781375</v>
    <v>237.15778137500001</v>
  </rv>
  <rv s="4">
    <fb>107188.36163460833</fb>
    <v>&lt;class 'numpy.float64'&gt;</v>
    <v>float64</v>
    <v>107188.36163460833</v>
    <v>107188.36163460833</v>
  </rv>
  <rv s="4">
    <fb>10497.4625</fb>
    <v>&lt;class 'numpy.float64'&gt;</v>
    <v>float64</v>
    <v>10497.4625</v>
    <v>10497.4625</v>
  </rv>
  <rv s="5">
    <v>0</v>
    <v>9</v>
  </rv>
  <rv s="0">
    <v>2</v>
  </rv>
  <rv s="6">
    <v>Image</v>
    <v>4</v>
    <v>11</v>
    <v>12</v>
  </rv>
  <rv s="2">
    <v>&lt;class 'PIL.PngImagePlugin.PngImageFile'&gt;</v>
    <v>PngImageFile</v>
    <v>&lt;PIL.PngImagePlugin.PngImageFile image mode=RGBA size=543x427 at 0x7F87356EEA40&gt;</v>
    <v>13</v>
  </rv>
  <rv s="5">
    <v>1</v>
    <v>5</v>
  </rv>
</rvData>
</file>

<file path=xl/richData/rdrichvaluestructure.xml><?xml version="1.0" encoding="utf-8"?>
<rvStructures xmlns="http://schemas.microsoft.com/office/spreadsheetml/2017/richdata" count="7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</s>
  <s t="_error">
    <k n="colOffset" t="i"/>
    <k n="errorType" t="i"/>
    <k n="rwOffset" t="i"/>
    <k n="subType" t="i"/>
  </s>
  <s t="_python">
    <k n="Python_type" t="s"/>
    <k n="Python_typeName" t="s"/>
    <k n="Python_str" t="s"/>
    <k n="basicValue"/>
  </s>
  <s t="_localImage">
    <k n="_rvRel:LocalImageIdentifier" t="i"/>
    <k n="CalcOrigin" t="i"/>
  </s>
  <s t="_entity">
    <k n="_DisplayString" t="s"/>
    <k n="_Format" t="spb"/>
    <k n="image" t="r"/>
    <k n="size" t="r"/>
  </s>
</rvStructures>
</file>

<file path=xl/richData/rdsupportingpropertybag.xml><?xml version="1.0" encoding="utf-8"?>
<supportingPropertyBags xmlns="http://schemas.microsoft.com/office/spreadsheetml/2017/richdata2">
  <spbData count="5">
    <spb s="0">
      <v>240</v>
      <v>7</v>
      <v>DataFrame</v>
      <v>arrayPreview</v>
      <v>1</v>
    </spb>
    <spb s="1">
      <v>0</v>
    </spb>
    <spb s="0">
      <v>8</v>
      <v>1</v>
      <v>Series</v>
      <v>arrayPreview</v>
      <v>1</v>
    </spb>
    <spb s="1">
      <v>2</v>
    </spb>
    <spb s="2">
      <v>1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  <k n="headers" t="b"/>
  </s>
  <s>
    <k n="ArrayCardInfo" t="spb"/>
  </s>
  <s>
    <k n="imag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richProperties>
    <rPr n="IsHeroField" t="b"/>
  </richProperties>
  <richStyles>
    <rSty>
      <rpv i="0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F91ED9-6CAE-426B-B214-CA7FFE904FBD}" name="cleaned_star_data" displayName="cleaned_star_data" ref="A1:G241" tableType="queryTable" totalsRowShown="0">
  <autoFilter ref="A1:G241" xr:uid="{65F91ED9-6CAE-426B-B214-CA7FFE904FBD}"/>
  <tableColumns count="7">
    <tableColumn id="1" xr3:uid="{601208B5-3F90-4027-85D9-ACDFCD70D8A8}" uniqueName="1" name="Temperature (K)" queryTableFieldId="1"/>
    <tableColumn id="2" xr3:uid="{19C2B9F6-C0B4-4D51-A429-240245B90A84}" uniqueName="2" name="Luminosity(L/Lo)" queryTableFieldId="2"/>
    <tableColumn id="3" xr3:uid="{2F76886A-82AD-42F2-9644-E0FC9B3D9ACB}" uniqueName="3" name="Radius(R/Ro)" queryTableFieldId="3"/>
    <tableColumn id="4" xr3:uid="{15B6DDF4-6B38-43FA-9AAA-C26C7DF7A967}" uniqueName="4" name="Absolute magnitude(Mv)" queryTableFieldId="4"/>
    <tableColumn id="5" xr3:uid="{63881CC2-7701-4623-B368-DB1F6A3B7E68}" uniqueName="5" name="Star type" queryTableFieldId="5"/>
    <tableColumn id="6" xr3:uid="{D11AF4AB-7F98-408F-8E8D-868300373340}" uniqueName="6" name="Star color" queryTableFieldId="6" dataDxfId="1"/>
    <tableColumn id="7" xr3:uid="{F0FD32D6-E37A-44B7-AEFD-20193E09B841}" uniqueName="7" name="Spectral Clas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3BEFC-4896-4CF9-8E20-64500897ED0C}">
  <dimension ref="A1:B4"/>
  <sheetViews>
    <sheetView workbookViewId="0">
      <selection activeCell="B1" sqref="B1"/>
    </sheetView>
  </sheetViews>
  <sheetFormatPr defaultRowHeight="15" x14ac:dyDescent="0.25"/>
  <cols>
    <col min="1" max="1" width="28.7109375" bestFit="1" customWidth="1"/>
    <col min="2" max="2" width="18.7109375" customWidth="1"/>
  </cols>
  <sheetData>
    <row r="1" spans="1:2" x14ac:dyDescent="0.25">
      <c r="A1" t="s">
        <v>19</v>
      </c>
      <c r="B1" t="s">
        <v>23</v>
      </c>
    </row>
    <row r="2" spans="1:2" x14ac:dyDescent="0.25">
      <c r="A2" t="s">
        <v>20</v>
      </c>
      <c r="B2" t="str" cm="1">
        <f t="array" ref="B2">_xlfn._DF_Python_str(Worksheet!J2)</f>
        <v>237.157781375</v>
      </c>
    </row>
    <row r="3" spans="1:2" x14ac:dyDescent="0.25">
      <c r="A3" t="s">
        <v>21</v>
      </c>
      <c r="B3" t="str" cm="1">
        <f t="array" ref="B3">_xlfn._DF_Python_str(Worksheet!J3)</f>
        <v>107188.36163460833</v>
      </c>
    </row>
    <row r="4" spans="1:2" x14ac:dyDescent="0.25">
      <c r="A4" t="s">
        <v>22</v>
      </c>
      <c r="B4" t="str" cm="1">
        <f t="array" ref="B4">_xlfn._DF_Python_str(Worksheet!J4)</f>
        <v>10497.4625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26114-BC13-4C83-8DD3-4E6EE990CB6A}">
  <dimension ref="A1:K5"/>
  <sheetViews>
    <sheetView tabSelected="1" workbookViewId="0">
      <selection activeCell="J5" sqref="J5"/>
    </sheetView>
  </sheetViews>
  <sheetFormatPr defaultRowHeight="15" x14ac:dyDescent="0.25"/>
  <cols>
    <col min="1" max="1" width="15.28515625" bestFit="1" customWidth="1"/>
    <col min="2" max="2" width="16.140625" bestFit="1" customWidth="1"/>
    <col min="3" max="3" width="12.7109375" bestFit="1" customWidth="1"/>
    <col min="4" max="4" width="22.85546875" bestFit="1" customWidth="1"/>
    <col min="5" max="5" width="8.5703125" bestFit="1" customWidth="1"/>
    <col min="6" max="6" width="12.42578125" bestFit="1" customWidth="1"/>
    <col min="7" max="7" width="14" bestFit="1" customWidth="1"/>
    <col min="10" max="10" width="14.5703125" customWidth="1"/>
    <col min="11" max="11" width="9.140625" customWidth="1"/>
  </cols>
  <sheetData>
    <row r="1" spans="1:11" x14ac:dyDescent="0.25">
      <c r="A1" t="e" cm="1" vm="1">
        <f t="array" ref="A1">_xlfn._xlws.PY(0,1,_xlfn.PQSOURCE("2de0a310-c982-4160-8637-68ff8a38d73b"))</f>
        <v>#VALUE!</v>
      </c>
      <c r="H1" t="e" cm="1" vm="2">
        <f t="array" ref="H1">_xlfn._xlws.PY(1,1)</f>
        <v>#VALUE!</v>
      </c>
      <c r="I1" t="e" cm="1" vm="3">
        <f t="array" aca="1" ref="I1" ca="1">_FV(H1,"arrayPreview")</f>
        <v>#VALUE!</v>
      </c>
      <c r="J1" cm="1" vm="4">
        <f t="array" ref="J1">_xlfn._xlws.PY(2,1)</f>
        <v>4.3823958333333337</v>
      </c>
    </row>
    <row r="2" spans="1:11" x14ac:dyDescent="0.25">
      <c r="J2" cm="1" vm="5">
        <f t="array" ref="J2">_xlfn._xlws.PY(3,1)</f>
        <v>237.15778137500001</v>
      </c>
    </row>
    <row r="3" spans="1:11" x14ac:dyDescent="0.25">
      <c r="J3" cm="1" vm="6">
        <f t="array" ref="J3">_xlfn._xlws.PY(4,1)</f>
        <v>107188.36163460833</v>
      </c>
    </row>
    <row r="4" spans="1:11" x14ac:dyDescent="0.25">
      <c r="J4" cm="1" vm="7">
        <f t="array" ref="J4">_xlfn._xlws.PY(5,1)</f>
        <v>10497.4625</v>
      </c>
    </row>
    <row r="5" spans="1:11" x14ac:dyDescent="0.25">
      <c r="J5" t="e" cm="1" vm="8">
        <f t="array" ref="J5">_xlfn._xlws.PY(6,1)</f>
        <v>#VALUE!</v>
      </c>
      <c r="K5" t="e" vm="9">
        <v>#VALUE!</v>
      </c>
    </row>
  </sheetData>
  <pageMargins left="0.7" right="0.7" top="0.75" bottom="0.75" header="0.3" footer="0.3"/>
  <ignoredErrors>
    <ignoredError sqref="J1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F05BD-2E69-4B60-AB01-22818A350079}">
  <dimension ref="A1:G241"/>
  <sheetViews>
    <sheetView workbookViewId="0">
      <selection activeCell="H2" sqref="H2:J2"/>
    </sheetView>
  </sheetViews>
  <sheetFormatPr defaultRowHeight="15" x14ac:dyDescent="0.25"/>
  <cols>
    <col min="1" max="1" width="18" bestFit="1" customWidth="1"/>
    <col min="2" max="2" width="18.7109375" bestFit="1" customWidth="1"/>
    <col min="3" max="3" width="15.42578125" bestFit="1" customWidth="1"/>
    <col min="4" max="4" width="25.7109375" bestFit="1" customWidth="1"/>
    <col min="5" max="5" width="11.28515625" bestFit="1" customWidth="1"/>
    <col min="6" max="6" width="12.42578125" bestFit="1" customWidth="1"/>
    <col min="7" max="7" width="16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3068</v>
      </c>
      <c r="B2">
        <v>2.3999999999999998E-3</v>
      </c>
      <c r="C2">
        <v>0.17</v>
      </c>
      <c r="D2">
        <v>16.12</v>
      </c>
      <c r="E2">
        <v>0</v>
      </c>
      <c r="F2" t="s">
        <v>7</v>
      </c>
      <c r="G2" t="s">
        <v>8</v>
      </c>
    </row>
    <row r="3" spans="1:7" x14ac:dyDescent="0.25">
      <c r="A3">
        <v>3042</v>
      </c>
      <c r="B3">
        <v>5.0000000000000001E-4</v>
      </c>
      <c r="C3">
        <v>0.1542</v>
      </c>
      <c r="D3">
        <v>16.600000000000001</v>
      </c>
      <c r="E3">
        <v>0</v>
      </c>
      <c r="F3" t="s">
        <v>7</v>
      </c>
      <c r="G3" t="s">
        <v>8</v>
      </c>
    </row>
    <row r="4" spans="1:7" x14ac:dyDescent="0.25">
      <c r="A4">
        <v>2600</v>
      </c>
      <c r="B4">
        <v>2.9999999999999997E-4</v>
      </c>
      <c r="C4">
        <v>0.10199999999999999</v>
      </c>
      <c r="D4">
        <v>18.7</v>
      </c>
      <c r="E4">
        <v>0</v>
      </c>
      <c r="F4" t="s">
        <v>7</v>
      </c>
      <c r="G4" t="s">
        <v>8</v>
      </c>
    </row>
    <row r="5" spans="1:7" x14ac:dyDescent="0.25">
      <c r="A5">
        <v>2800</v>
      </c>
      <c r="B5">
        <v>2.0000000000000001E-4</v>
      </c>
      <c r="C5">
        <v>0.16</v>
      </c>
      <c r="D5">
        <v>16.649999999999999</v>
      </c>
      <c r="E5">
        <v>0</v>
      </c>
      <c r="F5" t="s">
        <v>7</v>
      </c>
      <c r="G5" t="s">
        <v>8</v>
      </c>
    </row>
    <row r="6" spans="1:7" x14ac:dyDescent="0.25">
      <c r="A6">
        <v>1939</v>
      </c>
      <c r="B6">
        <v>1.3799999999999999E-4</v>
      </c>
      <c r="C6">
        <v>0.10299999999999999</v>
      </c>
      <c r="D6">
        <v>20.059999999999999</v>
      </c>
      <c r="E6">
        <v>0</v>
      </c>
      <c r="F6" t="s">
        <v>7</v>
      </c>
      <c r="G6" t="s">
        <v>8</v>
      </c>
    </row>
    <row r="7" spans="1:7" x14ac:dyDescent="0.25">
      <c r="A7">
        <v>2840</v>
      </c>
      <c r="B7">
        <v>6.4999999999999997E-4</v>
      </c>
      <c r="C7">
        <v>0.11</v>
      </c>
      <c r="D7">
        <v>16.98</v>
      </c>
      <c r="E7">
        <v>0</v>
      </c>
      <c r="F7" t="s">
        <v>7</v>
      </c>
      <c r="G7" t="s">
        <v>8</v>
      </c>
    </row>
    <row r="8" spans="1:7" x14ac:dyDescent="0.25">
      <c r="A8">
        <v>2637</v>
      </c>
      <c r="B8">
        <v>7.2999999999999996E-4</v>
      </c>
      <c r="C8">
        <v>0.127</v>
      </c>
      <c r="D8">
        <v>17.22</v>
      </c>
      <c r="E8">
        <v>0</v>
      </c>
      <c r="F8" t="s">
        <v>7</v>
      </c>
      <c r="G8" t="s">
        <v>8</v>
      </c>
    </row>
    <row r="9" spans="1:7" x14ac:dyDescent="0.25">
      <c r="A9">
        <v>2600</v>
      </c>
      <c r="B9">
        <v>4.0000000000000002E-4</v>
      </c>
      <c r="C9">
        <v>9.6000000000000002E-2</v>
      </c>
      <c r="D9">
        <v>17.399999999999999</v>
      </c>
      <c r="E9">
        <v>0</v>
      </c>
      <c r="F9" t="s">
        <v>7</v>
      </c>
      <c r="G9" t="s">
        <v>8</v>
      </c>
    </row>
    <row r="10" spans="1:7" x14ac:dyDescent="0.25">
      <c r="A10">
        <v>2650</v>
      </c>
      <c r="B10">
        <v>6.8999999999999997E-4</v>
      </c>
      <c r="C10">
        <v>0.11</v>
      </c>
      <c r="D10">
        <v>17.45</v>
      </c>
      <c r="E10">
        <v>0</v>
      </c>
      <c r="F10" t="s">
        <v>7</v>
      </c>
      <c r="G10" t="s">
        <v>8</v>
      </c>
    </row>
    <row r="11" spans="1:7" x14ac:dyDescent="0.25">
      <c r="A11">
        <v>2700</v>
      </c>
      <c r="B11">
        <v>1.8000000000000001E-4</v>
      </c>
      <c r="C11">
        <v>0.13</v>
      </c>
      <c r="D11">
        <v>16.05</v>
      </c>
      <c r="E11">
        <v>0</v>
      </c>
      <c r="F11" t="s">
        <v>7</v>
      </c>
      <c r="G11" t="s">
        <v>8</v>
      </c>
    </row>
    <row r="12" spans="1:7" x14ac:dyDescent="0.25">
      <c r="A12">
        <v>3600</v>
      </c>
      <c r="B12">
        <v>2.8999999999999998E-3</v>
      </c>
      <c r="C12">
        <v>0.51</v>
      </c>
      <c r="D12">
        <v>10.69</v>
      </c>
      <c r="E12">
        <v>1</v>
      </c>
      <c r="F12" t="s">
        <v>7</v>
      </c>
      <c r="G12" t="s">
        <v>8</v>
      </c>
    </row>
    <row r="13" spans="1:7" x14ac:dyDescent="0.25">
      <c r="A13">
        <v>3129</v>
      </c>
      <c r="B13">
        <v>1.2200000000000001E-2</v>
      </c>
      <c r="C13">
        <v>0.37609999999999999</v>
      </c>
      <c r="D13">
        <v>11.79</v>
      </c>
      <c r="E13">
        <v>1</v>
      </c>
      <c r="F13" t="s">
        <v>7</v>
      </c>
      <c r="G13" t="s">
        <v>8</v>
      </c>
    </row>
    <row r="14" spans="1:7" x14ac:dyDescent="0.25">
      <c r="A14">
        <v>3134</v>
      </c>
      <c r="B14">
        <v>4.0000000000000002E-4</v>
      </c>
      <c r="C14">
        <v>0.19600000000000001</v>
      </c>
      <c r="D14">
        <v>13.21</v>
      </c>
      <c r="E14">
        <v>1</v>
      </c>
      <c r="F14" t="s">
        <v>7</v>
      </c>
      <c r="G14" t="s">
        <v>8</v>
      </c>
    </row>
    <row r="15" spans="1:7" x14ac:dyDescent="0.25">
      <c r="A15">
        <v>3628</v>
      </c>
      <c r="B15">
        <v>5.4999999999999997E-3</v>
      </c>
      <c r="C15">
        <v>0.39300000000000002</v>
      </c>
      <c r="D15">
        <v>10.48</v>
      </c>
      <c r="E15">
        <v>1</v>
      </c>
      <c r="F15" t="s">
        <v>7</v>
      </c>
      <c r="G15" t="s">
        <v>8</v>
      </c>
    </row>
    <row r="16" spans="1:7" x14ac:dyDescent="0.25">
      <c r="A16">
        <v>2650</v>
      </c>
      <c r="B16">
        <v>5.9999999999999995E-4</v>
      </c>
      <c r="C16">
        <v>0.14000000000000001</v>
      </c>
      <c r="D16">
        <v>11.782</v>
      </c>
      <c r="E16">
        <v>1</v>
      </c>
      <c r="F16" t="s">
        <v>7</v>
      </c>
      <c r="G16" t="s">
        <v>8</v>
      </c>
    </row>
    <row r="17" spans="1:7" x14ac:dyDescent="0.25">
      <c r="A17">
        <v>3340</v>
      </c>
      <c r="B17">
        <v>3.8E-3</v>
      </c>
      <c r="C17">
        <v>0.24</v>
      </c>
      <c r="D17">
        <v>13.07</v>
      </c>
      <c r="E17">
        <v>1</v>
      </c>
      <c r="F17" t="s">
        <v>7</v>
      </c>
      <c r="G17" t="s">
        <v>8</v>
      </c>
    </row>
    <row r="18" spans="1:7" x14ac:dyDescent="0.25">
      <c r="A18">
        <v>2799</v>
      </c>
      <c r="B18">
        <v>1.8E-3</v>
      </c>
      <c r="C18">
        <v>0.16</v>
      </c>
      <c r="D18">
        <v>14.79</v>
      </c>
      <c r="E18">
        <v>1</v>
      </c>
      <c r="F18" t="s">
        <v>7</v>
      </c>
      <c r="G18" t="s">
        <v>8</v>
      </c>
    </row>
    <row r="19" spans="1:7" x14ac:dyDescent="0.25">
      <c r="A19">
        <v>3692</v>
      </c>
      <c r="B19">
        <v>3.6700000000000001E-3</v>
      </c>
      <c r="C19">
        <v>0.47</v>
      </c>
      <c r="D19">
        <v>10.8</v>
      </c>
      <c r="E19">
        <v>1</v>
      </c>
      <c r="F19" t="s">
        <v>7</v>
      </c>
      <c r="G19" t="s">
        <v>8</v>
      </c>
    </row>
    <row r="20" spans="1:7" x14ac:dyDescent="0.25">
      <c r="A20">
        <v>3192</v>
      </c>
      <c r="B20">
        <v>3.62E-3</v>
      </c>
      <c r="C20">
        <v>0.19670000000000001</v>
      </c>
      <c r="D20">
        <v>13.53</v>
      </c>
      <c r="E20">
        <v>1</v>
      </c>
      <c r="F20" t="s">
        <v>7</v>
      </c>
      <c r="G20" t="s">
        <v>8</v>
      </c>
    </row>
    <row r="21" spans="1:7" x14ac:dyDescent="0.25">
      <c r="A21">
        <v>3441</v>
      </c>
      <c r="B21">
        <v>3.9E-2</v>
      </c>
      <c r="C21">
        <v>0.35099999999999998</v>
      </c>
      <c r="D21">
        <v>11.18</v>
      </c>
      <c r="E21">
        <v>1</v>
      </c>
      <c r="F21" t="s">
        <v>7</v>
      </c>
      <c r="G21" t="s">
        <v>8</v>
      </c>
    </row>
    <row r="22" spans="1:7" x14ac:dyDescent="0.25">
      <c r="A22">
        <v>25000</v>
      </c>
      <c r="B22">
        <v>5.6000000000000001E-2</v>
      </c>
      <c r="C22">
        <v>8.3999999999999995E-3</v>
      </c>
      <c r="D22">
        <v>10.58</v>
      </c>
      <c r="E22">
        <v>2</v>
      </c>
      <c r="F22" t="s">
        <v>9</v>
      </c>
      <c r="G22" t="s">
        <v>10</v>
      </c>
    </row>
    <row r="23" spans="1:7" x14ac:dyDescent="0.25">
      <c r="A23">
        <v>7740</v>
      </c>
      <c r="B23">
        <v>4.8999999999999998E-4</v>
      </c>
      <c r="C23">
        <v>1.234E-2</v>
      </c>
      <c r="D23">
        <v>14.02</v>
      </c>
      <c r="E23">
        <v>2</v>
      </c>
      <c r="F23" t="s">
        <v>11</v>
      </c>
      <c r="G23" t="s">
        <v>12</v>
      </c>
    </row>
    <row r="24" spans="1:7" x14ac:dyDescent="0.25">
      <c r="A24">
        <v>7220</v>
      </c>
      <c r="B24">
        <v>1.7000000000000001E-4</v>
      </c>
      <c r="C24">
        <v>1.0999999999999999E-2</v>
      </c>
      <c r="D24">
        <v>14.23</v>
      </c>
      <c r="E24">
        <v>2</v>
      </c>
      <c r="F24" t="s">
        <v>11</v>
      </c>
      <c r="G24" t="s">
        <v>13</v>
      </c>
    </row>
    <row r="25" spans="1:7" x14ac:dyDescent="0.25">
      <c r="A25">
        <v>8500</v>
      </c>
      <c r="B25">
        <v>5.0000000000000001E-4</v>
      </c>
      <c r="C25">
        <v>0.01</v>
      </c>
      <c r="D25">
        <v>14.5</v>
      </c>
      <c r="E25">
        <v>2</v>
      </c>
      <c r="F25" t="s">
        <v>11</v>
      </c>
      <c r="G25" t="s">
        <v>12</v>
      </c>
    </row>
    <row r="26" spans="1:7" x14ac:dyDescent="0.25">
      <c r="A26">
        <v>16500</v>
      </c>
      <c r="B26">
        <v>1.2999999999999999E-2</v>
      </c>
      <c r="C26">
        <v>1.4E-2</v>
      </c>
      <c r="D26">
        <v>11.89</v>
      </c>
      <c r="E26">
        <v>2</v>
      </c>
      <c r="F26" t="s">
        <v>9</v>
      </c>
      <c r="G26" t="s">
        <v>10</v>
      </c>
    </row>
    <row r="27" spans="1:7" x14ac:dyDescent="0.25">
      <c r="A27">
        <v>12990</v>
      </c>
      <c r="B27">
        <v>8.5000000000000006E-5</v>
      </c>
      <c r="C27">
        <v>9.8399999999999998E-3</v>
      </c>
      <c r="D27">
        <v>12.23</v>
      </c>
      <c r="E27">
        <v>2</v>
      </c>
      <c r="F27" t="s">
        <v>14</v>
      </c>
      <c r="G27" t="s">
        <v>13</v>
      </c>
    </row>
    <row r="28" spans="1:7" x14ac:dyDescent="0.25">
      <c r="A28">
        <v>8570</v>
      </c>
      <c r="B28">
        <v>8.0999999999999996E-4</v>
      </c>
      <c r="C28">
        <v>9.7000000000000003E-3</v>
      </c>
      <c r="D28">
        <v>14.2</v>
      </c>
      <c r="E28">
        <v>2</v>
      </c>
      <c r="F28" t="s">
        <v>9</v>
      </c>
      <c r="G28" t="s">
        <v>12</v>
      </c>
    </row>
    <row r="29" spans="1:7" x14ac:dyDescent="0.25">
      <c r="A29">
        <v>7700</v>
      </c>
      <c r="B29">
        <v>1.1E-4</v>
      </c>
      <c r="C29">
        <v>1.2800000000000001E-2</v>
      </c>
      <c r="D29">
        <v>14.47</v>
      </c>
      <c r="E29">
        <v>2</v>
      </c>
      <c r="F29" t="s">
        <v>14</v>
      </c>
      <c r="G29" t="s">
        <v>13</v>
      </c>
    </row>
    <row r="30" spans="1:7" x14ac:dyDescent="0.25">
      <c r="A30">
        <v>11790</v>
      </c>
      <c r="B30">
        <v>1.4999999999999999E-4</v>
      </c>
      <c r="C30">
        <v>1.0999999999999999E-2</v>
      </c>
      <c r="D30">
        <v>12.59</v>
      </c>
      <c r="E30">
        <v>2</v>
      </c>
      <c r="F30" t="s">
        <v>14</v>
      </c>
      <c r="G30" t="s">
        <v>13</v>
      </c>
    </row>
    <row r="31" spans="1:7" x14ac:dyDescent="0.25">
      <c r="A31">
        <v>7230</v>
      </c>
      <c r="B31">
        <v>8.0000000000000007E-5</v>
      </c>
      <c r="C31">
        <v>1.2999999999999999E-2</v>
      </c>
      <c r="D31">
        <v>14.08</v>
      </c>
      <c r="E31">
        <v>2</v>
      </c>
      <c r="F31" t="s">
        <v>7</v>
      </c>
      <c r="G31" t="s">
        <v>13</v>
      </c>
    </row>
    <row r="32" spans="1:7" x14ac:dyDescent="0.25">
      <c r="A32">
        <v>39000</v>
      </c>
      <c r="B32">
        <v>204000</v>
      </c>
      <c r="C32">
        <v>10.6</v>
      </c>
      <c r="D32">
        <v>-4.7</v>
      </c>
      <c r="E32">
        <v>3</v>
      </c>
      <c r="F32" t="s">
        <v>15</v>
      </c>
      <c r="G32" t="s">
        <v>16</v>
      </c>
    </row>
    <row r="33" spans="1:7" x14ac:dyDescent="0.25">
      <c r="A33">
        <v>30000</v>
      </c>
      <c r="B33">
        <v>28840</v>
      </c>
      <c r="C33">
        <v>6.3</v>
      </c>
      <c r="D33">
        <v>-4.2</v>
      </c>
      <c r="E33">
        <v>3</v>
      </c>
      <c r="F33" t="s">
        <v>9</v>
      </c>
      <c r="G33" t="s">
        <v>10</v>
      </c>
    </row>
    <row r="34" spans="1:7" x14ac:dyDescent="0.25">
      <c r="A34">
        <v>15276</v>
      </c>
      <c r="B34">
        <v>1136</v>
      </c>
      <c r="C34">
        <v>7.2</v>
      </c>
      <c r="D34">
        <v>-1.97</v>
      </c>
      <c r="E34">
        <v>3</v>
      </c>
      <c r="F34" t="s">
        <v>9</v>
      </c>
      <c r="G34" t="s">
        <v>10</v>
      </c>
    </row>
    <row r="35" spans="1:7" x14ac:dyDescent="0.25">
      <c r="A35">
        <v>9700</v>
      </c>
      <c r="B35">
        <v>74</v>
      </c>
      <c r="C35">
        <v>2.89</v>
      </c>
      <c r="D35">
        <v>0.16</v>
      </c>
      <c r="E35">
        <v>3</v>
      </c>
      <c r="F35" t="s">
        <v>11</v>
      </c>
      <c r="G35" t="s">
        <v>10</v>
      </c>
    </row>
    <row r="36" spans="1:7" x14ac:dyDescent="0.25">
      <c r="A36">
        <v>5800</v>
      </c>
      <c r="B36">
        <v>0.81</v>
      </c>
      <c r="C36">
        <v>0.9</v>
      </c>
      <c r="D36">
        <v>5.05</v>
      </c>
      <c r="E36">
        <v>3</v>
      </c>
      <c r="F36" t="s">
        <v>14</v>
      </c>
      <c r="G36" t="s">
        <v>13</v>
      </c>
    </row>
    <row r="37" spans="1:7" x14ac:dyDescent="0.25">
      <c r="A37">
        <v>8052</v>
      </c>
      <c r="B37">
        <v>8.6999999999999993</v>
      </c>
      <c r="C37">
        <v>1.8</v>
      </c>
      <c r="D37">
        <v>2.42</v>
      </c>
      <c r="E37">
        <v>3</v>
      </c>
      <c r="F37" t="s">
        <v>11</v>
      </c>
      <c r="G37" t="s">
        <v>12</v>
      </c>
    </row>
    <row r="38" spans="1:7" x14ac:dyDescent="0.25">
      <c r="A38">
        <v>6757</v>
      </c>
      <c r="B38">
        <v>1.43</v>
      </c>
      <c r="C38">
        <v>1.1200000000000001</v>
      </c>
      <c r="D38">
        <v>2.41</v>
      </c>
      <c r="E38">
        <v>3</v>
      </c>
      <c r="F38" t="s">
        <v>14</v>
      </c>
      <c r="G38" t="s">
        <v>13</v>
      </c>
    </row>
    <row r="39" spans="1:7" x14ac:dyDescent="0.25">
      <c r="A39">
        <v>6380</v>
      </c>
      <c r="B39">
        <v>1.35</v>
      </c>
      <c r="C39">
        <v>0.98</v>
      </c>
      <c r="D39">
        <v>2.93</v>
      </c>
      <c r="E39">
        <v>3</v>
      </c>
      <c r="F39" t="s">
        <v>14</v>
      </c>
      <c r="G39" t="s">
        <v>13</v>
      </c>
    </row>
    <row r="40" spans="1:7" x14ac:dyDescent="0.25">
      <c r="A40">
        <v>5936</v>
      </c>
      <c r="B40">
        <v>1.357</v>
      </c>
      <c r="C40">
        <v>1.1060000000000001</v>
      </c>
      <c r="D40">
        <v>4.46</v>
      </c>
      <c r="E40">
        <v>3</v>
      </c>
      <c r="F40" t="s">
        <v>14</v>
      </c>
      <c r="G40" t="s">
        <v>13</v>
      </c>
    </row>
    <row r="41" spans="1:7" x14ac:dyDescent="0.25">
      <c r="A41">
        <v>5587</v>
      </c>
      <c r="B41">
        <v>0.81899999999999995</v>
      </c>
      <c r="C41">
        <v>0.99</v>
      </c>
      <c r="D41">
        <v>5.03</v>
      </c>
      <c r="E41">
        <v>3</v>
      </c>
      <c r="F41" t="s">
        <v>14</v>
      </c>
      <c r="G41" t="s">
        <v>13</v>
      </c>
    </row>
    <row r="42" spans="1:7" x14ac:dyDescent="0.25">
      <c r="A42">
        <v>3826</v>
      </c>
      <c r="B42">
        <v>200000</v>
      </c>
      <c r="C42">
        <v>19</v>
      </c>
      <c r="D42">
        <v>-6.93</v>
      </c>
      <c r="E42">
        <v>4</v>
      </c>
      <c r="F42" t="s">
        <v>7</v>
      </c>
      <c r="G42" t="s">
        <v>8</v>
      </c>
    </row>
    <row r="43" spans="1:7" x14ac:dyDescent="0.25">
      <c r="A43">
        <v>3365</v>
      </c>
      <c r="B43">
        <v>340000</v>
      </c>
      <c r="C43">
        <v>23</v>
      </c>
      <c r="D43">
        <v>-6.2</v>
      </c>
      <c r="E43">
        <v>4</v>
      </c>
      <c r="F43" t="s">
        <v>7</v>
      </c>
      <c r="G43" t="s">
        <v>8</v>
      </c>
    </row>
    <row r="44" spans="1:7" x14ac:dyDescent="0.25">
      <c r="A44">
        <v>3270</v>
      </c>
      <c r="B44">
        <v>150000</v>
      </c>
      <c r="C44">
        <v>88</v>
      </c>
      <c r="D44">
        <v>-6.02</v>
      </c>
      <c r="E44">
        <v>4</v>
      </c>
      <c r="F44" t="s">
        <v>7</v>
      </c>
      <c r="G44" t="s">
        <v>8</v>
      </c>
    </row>
    <row r="45" spans="1:7" x14ac:dyDescent="0.25">
      <c r="A45">
        <v>3200</v>
      </c>
      <c r="B45">
        <v>195000</v>
      </c>
      <c r="C45">
        <v>17</v>
      </c>
      <c r="D45">
        <v>-7.22</v>
      </c>
      <c r="E45">
        <v>4</v>
      </c>
      <c r="F45" t="s">
        <v>7</v>
      </c>
      <c r="G45" t="s">
        <v>8</v>
      </c>
    </row>
    <row r="46" spans="1:7" x14ac:dyDescent="0.25">
      <c r="A46">
        <v>3008</v>
      </c>
      <c r="B46">
        <v>280000</v>
      </c>
      <c r="C46">
        <v>25</v>
      </c>
      <c r="D46">
        <v>-6</v>
      </c>
      <c r="E46">
        <v>4</v>
      </c>
      <c r="F46" t="s">
        <v>7</v>
      </c>
      <c r="G46" t="s">
        <v>8</v>
      </c>
    </row>
    <row r="47" spans="1:7" x14ac:dyDescent="0.25">
      <c r="A47">
        <v>3600</v>
      </c>
      <c r="B47">
        <v>320000</v>
      </c>
      <c r="C47">
        <v>29</v>
      </c>
      <c r="D47">
        <v>-6.6</v>
      </c>
      <c r="E47">
        <v>4</v>
      </c>
      <c r="F47" t="s">
        <v>7</v>
      </c>
      <c r="G47" t="s">
        <v>8</v>
      </c>
    </row>
    <row r="48" spans="1:7" x14ac:dyDescent="0.25">
      <c r="A48">
        <v>3575</v>
      </c>
      <c r="B48">
        <v>123000</v>
      </c>
      <c r="C48">
        <v>45</v>
      </c>
      <c r="D48">
        <v>-6.78</v>
      </c>
      <c r="E48">
        <v>4</v>
      </c>
      <c r="F48" t="s">
        <v>7</v>
      </c>
      <c r="G48" t="s">
        <v>8</v>
      </c>
    </row>
    <row r="49" spans="1:7" x14ac:dyDescent="0.25">
      <c r="A49">
        <v>3574</v>
      </c>
      <c r="B49">
        <v>200000</v>
      </c>
      <c r="C49">
        <v>89</v>
      </c>
      <c r="D49">
        <v>-5.24</v>
      </c>
      <c r="E49">
        <v>4</v>
      </c>
      <c r="F49" t="s">
        <v>7</v>
      </c>
      <c r="G49" t="s">
        <v>8</v>
      </c>
    </row>
    <row r="50" spans="1:7" x14ac:dyDescent="0.25">
      <c r="A50">
        <v>3625</v>
      </c>
      <c r="B50">
        <v>184000</v>
      </c>
      <c r="C50">
        <v>84</v>
      </c>
      <c r="D50">
        <v>-6.74</v>
      </c>
      <c r="E50">
        <v>4</v>
      </c>
      <c r="F50" t="s">
        <v>7</v>
      </c>
      <c r="G50" t="s">
        <v>8</v>
      </c>
    </row>
    <row r="51" spans="1:7" x14ac:dyDescent="0.25">
      <c r="A51">
        <v>33750</v>
      </c>
      <c r="B51">
        <v>220000</v>
      </c>
      <c r="C51">
        <v>26</v>
      </c>
      <c r="D51">
        <v>-6.1</v>
      </c>
      <c r="E51">
        <v>4</v>
      </c>
      <c r="F51" t="s">
        <v>15</v>
      </c>
      <c r="G51" t="s">
        <v>10</v>
      </c>
    </row>
    <row r="52" spans="1:7" x14ac:dyDescent="0.25">
      <c r="A52">
        <v>3490</v>
      </c>
      <c r="B52">
        <v>270000</v>
      </c>
      <c r="C52">
        <v>1520</v>
      </c>
      <c r="D52">
        <v>-9.4</v>
      </c>
      <c r="E52">
        <v>5</v>
      </c>
      <c r="F52" t="s">
        <v>7</v>
      </c>
      <c r="G52" t="s">
        <v>8</v>
      </c>
    </row>
    <row r="53" spans="1:7" x14ac:dyDescent="0.25">
      <c r="A53">
        <v>3750</v>
      </c>
      <c r="B53">
        <v>283000</v>
      </c>
      <c r="C53">
        <v>1260</v>
      </c>
      <c r="D53">
        <v>-7.63</v>
      </c>
      <c r="E53">
        <v>5</v>
      </c>
      <c r="F53" t="s">
        <v>7</v>
      </c>
      <c r="G53" t="s">
        <v>8</v>
      </c>
    </row>
    <row r="54" spans="1:7" x14ac:dyDescent="0.25">
      <c r="A54">
        <v>3834</v>
      </c>
      <c r="B54">
        <v>272000</v>
      </c>
      <c r="C54">
        <v>1183</v>
      </c>
      <c r="D54">
        <v>-9.1999999999999993</v>
      </c>
      <c r="E54">
        <v>5</v>
      </c>
      <c r="F54" t="s">
        <v>7</v>
      </c>
      <c r="G54" t="s">
        <v>8</v>
      </c>
    </row>
    <row r="55" spans="1:7" x14ac:dyDescent="0.25">
      <c r="A55">
        <v>3749</v>
      </c>
      <c r="B55">
        <v>550000</v>
      </c>
      <c r="C55">
        <v>1648</v>
      </c>
      <c r="D55">
        <v>-8.0500000000000007</v>
      </c>
      <c r="E55">
        <v>5</v>
      </c>
      <c r="F55" t="s">
        <v>7</v>
      </c>
      <c r="G55" t="s">
        <v>8</v>
      </c>
    </row>
    <row r="56" spans="1:7" x14ac:dyDescent="0.25">
      <c r="A56">
        <v>3650</v>
      </c>
      <c r="B56">
        <v>310000</v>
      </c>
      <c r="C56">
        <v>1324</v>
      </c>
      <c r="D56">
        <v>-7.79</v>
      </c>
      <c r="E56">
        <v>5</v>
      </c>
      <c r="F56" t="s">
        <v>7</v>
      </c>
      <c r="G56" t="s">
        <v>8</v>
      </c>
    </row>
    <row r="57" spans="1:7" x14ac:dyDescent="0.25">
      <c r="A57">
        <v>3450</v>
      </c>
      <c r="B57">
        <v>263000</v>
      </c>
      <c r="C57">
        <v>1349</v>
      </c>
      <c r="D57">
        <v>-11.75</v>
      </c>
      <c r="E57">
        <v>5</v>
      </c>
      <c r="F57" t="s">
        <v>7</v>
      </c>
      <c r="G57" t="s">
        <v>8</v>
      </c>
    </row>
    <row r="58" spans="1:7" x14ac:dyDescent="0.25">
      <c r="A58">
        <v>3660</v>
      </c>
      <c r="B58">
        <v>363000</v>
      </c>
      <c r="C58">
        <v>1673</v>
      </c>
      <c r="D58">
        <v>-11.92</v>
      </c>
      <c r="E58">
        <v>5</v>
      </c>
      <c r="F58" t="s">
        <v>7</v>
      </c>
      <c r="G58" t="s">
        <v>8</v>
      </c>
    </row>
    <row r="59" spans="1:7" x14ac:dyDescent="0.25">
      <c r="A59">
        <v>3450</v>
      </c>
      <c r="B59">
        <v>174000</v>
      </c>
      <c r="C59">
        <v>1284</v>
      </c>
      <c r="D59">
        <v>-11.28</v>
      </c>
      <c r="E59">
        <v>5</v>
      </c>
      <c r="F59" t="s">
        <v>7</v>
      </c>
      <c r="G59" t="s">
        <v>8</v>
      </c>
    </row>
    <row r="60" spans="1:7" x14ac:dyDescent="0.25">
      <c r="A60">
        <v>3752</v>
      </c>
      <c r="B60">
        <v>209000</v>
      </c>
      <c r="C60">
        <v>955</v>
      </c>
      <c r="D60">
        <v>-11.24</v>
      </c>
      <c r="E60">
        <v>5</v>
      </c>
      <c r="F60" t="s">
        <v>7</v>
      </c>
      <c r="G60" t="s">
        <v>8</v>
      </c>
    </row>
    <row r="61" spans="1:7" x14ac:dyDescent="0.25">
      <c r="A61">
        <v>3535</v>
      </c>
      <c r="B61">
        <v>195000</v>
      </c>
      <c r="C61">
        <v>1546</v>
      </c>
      <c r="D61">
        <v>-11.36</v>
      </c>
      <c r="E61">
        <v>5</v>
      </c>
      <c r="F61" t="s">
        <v>7</v>
      </c>
      <c r="G61" t="s">
        <v>8</v>
      </c>
    </row>
    <row r="62" spans="1:7" x14ac:dyDescent="0.25">
      <c r="A62">
        <v>3341</v>
      </c>
      <c r="B62">
        <v>5.5999999999999999E-3</v>
      </c>
      <c r="C62">
        <v>5.7000000000000002E-2</v>
      </c>
      <c r="D62">
        <v>16.23</v>
      </c>
      <c r="E62">
        <v>0</v>
      </c>
      <c r="F62" t="s">
        <v>7</v>
      </c>
      <c r="G62" t="s">
        <v>8</v>
      </c>
    </row>
    <row r="63" spans="1:7" x14ac:dyDescent="0.25">
      <c r="A63">
        <v>3432</v>
      </c>
      <c r="B63">
        <v>6.7000000000000002E-4</v>
      </c>
      <c r="C63">
        <v>0.19</v>
      </c>
      <c r="D63">
        <v>16.940000000000001</v>
      </c>
      <c r="E63">
        <v>0</v>
      </c>
      <c r="F63" t="s">
        <v>7</v>
      </c>
      <c r="G63" t="s">
        <v>8</v>
      </c>
    </row>
    <row r="64" spans="1:7" x14ac:dyDescent="0.25">
      <c r="A64">
        <v>2983</v>
      </c>
      <c r="B64">
        <v>2.4000000000000001E-4</v>
      </c>
      <c r="C64">
        <v>9.4E-2</v>
      </c>
      <c r="D64">
        <v>16.09</v>
      </c>
      <c r="E64">
        <v>0</v>
      </c>
      <c r="F64" t="s">
        <v>7</v>
      </c>
      <c r="G64" t="s">
        <v>8</v>
      </c>
    </row>
    <row r="65" spans="1:7" x14ac:dyDescent="0.25">
      <c r="A65">
        <v>2835</v>
      </c>
      <c r="B65">
        <v>3.4000000000000002E-4</v>
      </c>
      <c r="C65">
        <v>9.1800000000000007E-2</v>
      </c>
      <c r="D65">
        <v>16.96</v>
      </c>
      <c r="E65">
        <v>0</v>
      </c>
      <c r="F65" t="s">
        <v>7</v>
      </c>
      <c r="G65" t="s">
        <v>8</v>
      </c>
    </row>
    <row r="66" spans="1:7" x14ac:dyDescent="0.25">
      <c r="A66">
        <v>2935</v>
      </c>
      <c r="B66">
        <v>1.3999999999999999E-4</v>
      </c>
      <c r="C66">
        <v>0.11600000000000001</v>
      </c>
      <c r="D66">
        <v>18.89</v>
      </c>
      <c r="E66">
        <v>0</v>
      </c>
      <c r="F66" t="s">
        <v>7</v>
      </c>
      <c r="G66" t="s">
        <v>8</v>
      </c>
    </row>
    <row r="67" spans="1:7" x14ac:dyDescent="0.25">
      <c r="A67">
        <v>3295</v>
      </c>
      <c r="B67">
        <v>9.7999999999999997E-4</v>
      </c>
      <c r="C67">
        <v>0.13200000000000001</v>
      </c>
      <c r="D67">
        <v>17.13</v>
      </c>
      <c r="E67">
        <v>0</v>
      </c>
      <c r="F67" t="s">
        <v>7</v>
      </c>
      <c r="G67" t="s">
        <v>8</v>
      </c>
    </row>
    <row r="68" spans="1:7" x14ac:dyDescent="0.25">
      <c r="A68">
        <v>2945</v>
      </c>
      <c r="B68">
        <v>3.2000000000000003E-4</v>
      </c>
      <c r="C68">
        <v>9.2999999999999999E-2</v>
      </c>
      <c r="D68">
        <v>18.34</v>
      </c>
      <c r="E68">
        <v>0</v>
      </c>
      <c r="F68" t="s">
        <v>7</v>
      </c>
      <c r="G68" t="s">
        <v>8</v>
      </c>
    </row>
    <row r="69" spans="1:7" x14ac:dyDescent="0.25">
      <c r="A69">
        <v>2817</v>
      </c>
      <c r="B69">
        <v>9.7999999999999997E-4</v>
      </c>
      <c r="C69">
        <v>9.11E-2</v>
      </c>
      <c r="D69">
        <v>16.45</v>
      </c>
      <c r="E69">
        <v>0</v>
      </c>
      <c r="F69" t="s">
        <v>7</v>
      </c>
      <c r="G69" t="s">
        <v>8</v>
      </c>
    </row>
    <row r="70" spans="1:7" x14ac:dyDescent="0.25">
      <c r="A70">
        <v>2774</v>
      </c>
      <c r="B70">
        <v>3.6000000000000002E-4</v>
      </c>
      <c r="C70">
        <v>0.11799999999999999</v>
      </c>
      <c r="D70">
        <v>17.39</v>
      </c>
      <c r="E70">
        <v>0</v>
      </c>
      <c r="F70" t="s">
        <v>7</v>
      </c>
      <c r="G70" t="s">
        <v>8</v>
      </c>
    </row>
    <row r="71" spans="1:7" x14ac:dyDescent="0.25">
      <c r="A71">
        <v>2871</v>
      </c>
      <c r="B71">
        <v>7.2000000000000005E-4</v>
      </c>
      <c r="C71">
        <v>0.12</v>
      </c>
      <c r="D71">
        <v>19.43</v>
      </c>
      <c r="E71">
        <v>0</v>
      </c>
      <c r="F71" t="s">
        <v>7</v>
      </c>
      <c r="G71" t="s">
        <v>8</v>
      </c>
    </row>
    <row r="72" spans="1:7" x14ac:dyDescent="0.25">
      <c r="A72">
        <v>3345</v>
      </c>
      <c r="B72">
        <v>2.1000000000000001E-2</v>
      </c>
      <c r="C72">
        <v>0.27300000000000002</v>
      </c>
      <c r="D72">
        <v>12.3</v>
      </c>
      <c r="E72">
        <v>1</v>
      </c>
      <c r="F72" t="s">
        <v>7</v>
      </c>
      <c r="G72" t="s">
        <v>8</v>
      </c>
    </row>
    <row r="73" spans="1:7" x14ac:dyDescent="0.25">
      <c r="A73">
        <v>3607</v>
      </c>
      <c r="B73">
        <v>2.1999999999999999E-2</v>
      </c>
      <c r="C73">
        <v>0.38</v>
      </c>
      <c r="D73">
        <v>10.119999999999999</v>
      </c>
      <c r="E73">
        <v>1</v>
      </c>
      <c r="F73" t="s">
        <v>7</v>
      </c>
      <c r="G73" t="s">
        <v>8</v>
      </c>
    </row>
    <row r="74" spans="1:7" x14ac:dyDescent="0.25">
      <c r="A74">
        <v>3304</v>
      </c>
      <c r="B74">
        <v>8.5000000000000006E-3</v>
      </c>
      <c r="C74">
        <v>0.18</v>
      </c>
      <c r="D74">
        <v>13.2</v>
      </c>
      <c r="E74">
        <v>1</v>
      </c>
      <c r="F74" t="s">
        <v>7</v>
      </c>
      <c r="G74" t="s">
        <v>8</v>
      </c>
    </row>
    <row r="75" spans="1:7" x14ac:dyDescent="0.25">
      <c r="A75">
        <v>3150</v>
      </c>
      <c r="B75">
        <v>8.8000000000000005E-3</v>
      </c>
      <c r="C75">
        <v>0.35</v>
      </c>
      <c r="D75">
        <v>11.94</v>
      </c>
      <c r="E75">
        <v>1</v>
      </c>
      <c r="F75" t="s">
        <v>7</v>
      </c>
      <c r="G75" t="s">
        <v>8</v>
      </c>
    </row>
    <row r="76" spans="1:7" x14ac:dyDescent="0.25">
      <c r="A76">
        <v>3550</v>
      </c>
      <c r="B76">
        <v>4.0000000000000001E-3</v>
      </c>
      <c r="C76">
        <v>0.29099999999999998</v>
      </c>
      <c r="D76">
        <v>10.89</v>
      </c>
      <c r="E76">
        <v>1</v>
      </c>
      <c r="F76" t="s">
        <v>7</v>
      </c>
      <c r="G76" t="s">
        <v>8</v>
      </c>
    </row>
    <row r="77" spans="1:7" x14ac:dyDescent="0.25">
      <c r="A77">
        <v>3180</v>
      </c>
      <c r="B77">
        <v>1E-3</v>
      </c>
      <c r="C77">
        <v>0.35</v>
      </c>
      <c r="D77">
        <v>11.76</v>
      </c>
      <c r="E77">
        <v>1</v>
      </c>
      <c r="F77" t="s">
        <v>7</v>
      </c>
      <c r="G77" t="s">
        <v>8</v>
      </c>
    </row>
    <row r="78" spans="1:7" x14ac:dyDescent="0.25">
      <c r="A78">
        <v>2890</v>
      </c>
      <c r="B78">
        <v>3.3999999999999998E-3</v>
      </c>
      <c r="C78">
        <v>0.24</v>
      </c>
      <c r="D78">
        <v>13.46</v>
      </c>
      <c r="E78">
        <v>1</v>
      </c>
      <c r="F78" t="s">
        <v>7</v>
      </c>
      <c r="G78" t="s">
        <v>8</v>
      </c>
    </row>
    <row r="79" spans="1:7" x14ac:dyDescent="0.25">
      <c r="A79">
        <v>3342</v>
      </c>
      <c r="B79">
        <v>1.5E-3</v>
      </c>
      <c r="C79">
        <v>0.307</v>
      </c>
      <c r="D79">
        <v>11.87</v>
      </c>
      <c r="E79">
        <v>1</v>
      </c>
      <c r="F79" t="s">
        <v>7</v>
      </c>
      <c r="G79" t="s">
        <v>8</v>
      </c>
    </row>
    <row r="80" spans="1:7" x14ac:dyDescent="0.25">
      <c r="A80">
        <v>2621</v>
      </c>
      <c r="B80">
        <v>5.9999999999999995E-4</v>
      </c>
      <c r="C80">
        <v>9.8000000000000004E-2</v>
      </c>
      <c r="D80">
        <v>12.81</v>
      </c>
      <c r="E80">
        <v>1</v>
      </c>
      <c r="F80" t="s">
        <v>7</v>
      </c>
      <c r="G80" t="s">
        <v>8</v>
      </c>
    </row>
    <row r="81" spans="1:7" x14ac:dyDescent="0.25">
      <c r="A81">
        <v>3158</v>
      </c>
      <c r="B81">
        <v>1.3500000000000001E-3</v>
      </c>
      <c r="C81">
        <v>0.161</v>
      </c>
      <c r="D81">
        <v>13.98</v>
      </c>
      <c r="E81">
        <v>1</v>
      </c>
      <c r="F81" t="s">
        <v>7</v>
      </c>
      <c r="G81" t="s">
        <v>8</v>
      </c>
    </row>
    <row r="82" spans="1:7" x14ac:dyDescent="0.25">
      <c r="A82">
        <v>7100</v>
      </c>
      <c r="B82">
        <v>2.9E-4</v>
      </c>
      <c r="C82">
        <v>1.2E-2</v>
      </c>
      <c r="D82">
        <v>14.09</v>
      </c>
      <c r="E82">
        <v>2</v>
      </c>
      <c r="F82" t="s">
        <v>14</v>
      </c>
      <c r="G82" t="s">
        <v>13</v>
      </c>
    </row>
    <row r="83" spans="1:7" x14ac:dyDescent="0.25">
      <c r="A83">
        <v>10574</v>
      </c>
      <c r="B83">
        <v>1.3999999999999999E-4</v>
      </c>
      <c r="C83">
        <v>9.1999999999999998E-3</v>
      </c>
      <c r="D83">
        <v>12.02</v>
      </c>
      <c r="E83">
        <v>2</v>
      </c>
      <c r="F83" t="s">
        <v>11</v>
      </c>
      <c r="G83" t="s">
        <v>13</v>
      </c>
    </row>
    <row r="84" spans="1:7" x14ac:dyDescent="0.25">
      <c r="A84">
        <v>8930</v>
      </c>
      <c r="B84">
        <v>5.5999999999999995E-4</v>
      </c>
      <c r="C84">
        <v>9.4999999999999998E-3</v>
      </c>
      <c r="D84">
        <v>13.78</v>
      </c>
      <c r="E84">
        <v>2</v>
      </c>
      <c r="F84" t="s">
        <v>11</v>
      </c>
      <c r="G84" t="s">
        <v>12</v>
      </c>
    </row>
    <row r="85" spans="1:7" x14ac:dyDescent="0.25">
      <c r="A85">
        <v>17200</v>
      </c>
      <c r="B85">
        <v>9.7999999999999997E-4</v>
      </c>
      <c r="C85">
        <v>1.4999999999999999E-2</v>
      </c>
      <c r="D85">
        <v>12.45</v>
      </c>
      <c r="E85">
        <v>2</v>
      </c>
      <c r="F85" t="s">
        <v>9</v>
      </c>
      <c r="G85" t="s">
        <v>10</v>
      </c>
    </row>
    <row r="86" spans="1:7" x14ac:dyDescent="0.25">
      <c r="A86">
        <v>14100</v>
      </c>
      <c r="B86">
        <v>6.7000000000000002E-4</v>
      </c>
      <c r="C86">
        <v>8.8999999999999999E-3</v>
      </c>
      <c r="D86">
        <v>12.17</v>
      </c>
      <c r="E86">
        <v>2</v>
      </c>
      <c r="F86" t="s">
        <v>9</v>
      </c>
      <c r="G86" t="s">
        <v>10</v>
      </c>
    </row>
    <row r="87" spans="1:7" x14ac:dyDescent="0.25">
      <c r="A87">
        <v>9675</v>
      </c>
      <c r="B87">
        <v>4.4999999999999999E-4</v>
      </c>
      <c r="C87">
        <v>1.09E-2</v>
      </c>
      <c r="D87">
        <v>13.98</v>
      </c>
      <c r="E87">
        <v>2</v>
      </c>
      <c r="F87" t="s">
        <v>9</v>
      </c>
      <c r="G87" t="s">
        <v>12</v>
      </c>
    </row>
    <row r="88" spans="1:7" x14ac:dyDescent="0.25">
      <c r="A88">
        <v>12010</v>
      </c>
      <c r="B88">
        <v>7.7999999999999999E-4</v>
      </c>
      <c r="C88">
        <v>9.1999999999999998E-3</v>
      </c>
      <c r="D88">
        <v>12.13</v>
      </c>
      <c r="E88">
        <v>2</v>
      </c>
      <c r="F88" t="s">
        <v>9</v>
      </c>
      <c r="G88" t="s">
        <v>10</v>
      </c>
    </row>
    <row r="89" spans="1:7" x14ac:dyDescent="0.25">
      <c r="A89">
        <v>10980</v>
      </c>
      <c r="B89">
        <v>7.3999999999999999E-4</v>
      </c>
      <c r="C89">
        <v>8.6999999999999994E-3</v>
      </c>
      <c r="D89">
        <v>11.19</v>
      </c>
      <c r="E89">
        <v>2</v>
      </c>
      <c r="F89" t="s">
        <v>9</v>
      </c>
      <c r="G89" t="s">
        <v>10</v>
      </c>
    </row>
    <row r="90" spans="1:7" x14ac:dyDescent="0.25">
      <c r="A90">
        <v>13720</v>
      </c>
      <c r="B90">
        <v>1.8000000000000001E-4</v>
      </c>
      <c r="C90">
        <v>8.9200000000000008E-3</v>
      </c>
      <c r="D90">
        <v>12.97</v>
      </c>
      <c r="E90">
        <v>2</v>
      </c>
      <c r="F90" t="s">
        <v>11</v>
      </c>
      <c r="G90" t="s">
        <v>13</v>
      </c>
    </row>
    <row r="91" spans="1:7" x14ac:dyDescent="0.25">
      <c r="A91">
        <v>19860</v>
      </c>
      <c r="B91">
        <v>1.1000000000000001E-3</v>
      </c>
      <c r="C91">
        <v>1.3100000000000001E-2</v>
      </c>
      <c r="D91">
        <v>11.34</v>
      </c>
      <c r="E91">
        <v>2</v>
      </c>
      <c r="F91" t="s">
        <v>15</v>
      </c>
      <c r="G91" t="s">
        <v>10</v>
      </c>
    </row>
    <row r="92" spans="1:7" x14ac:dyDescent="0.25">
      <c r="A92">
        <v>5300</v>
      </c>
      <c r="B92">
        <v>0.59</v>
      </c>
      <c r="C92">
        <v>0.91</v>
      </c>
      <c r="D92">
        <v>5.49</v>
      </c>
      <c r="E92">
        <v>3</v>
      </c>
      <c r="F92" t="s">
        <v>14</v>
      </c>
      <c r="G92" t="s">
        <v>13</v>
      </c>
    </row>
    <row r="93" spans="1:7" x14ac:dyDescent="0.25">
      <c r="A93">
        <v>4526</v>
      </c>
      <c r="B93">
        <v>0.153</v>
      </c>
      <c r="C93">
        <v>0.86499999999999999</v>
      </c>
      <c r="D93">
        <v>6.5060000000000002</v>
      </c>
      <c r="E93">
        <v>3</v>
      </c>
      <c r="F93" t="s">
        <v>14</v>
      </c>
      <c r="G93" t="s">
        <v>17</v>
      </c>
    </row>
    <row r="94" spans="1:7" x14ac:dyDescent="0.25">
      <c r="A94">
        <v>4077</v>
      </c>
      <c r="B94">
        <v>8.5000000000000006E-2</v>
      </c>
      <c r="C94">
        <v>0.79500000000000004</v>
      </c>
      <c r="D94">
        <v>6.2279999999999998</v>
      </c>
      <c r="E94">
        <v>3</v>
      </c>
      <c r="F94" t="s">
        <v>14</v>
      </c>
      <c r="G94" t="s">
        <v>17</v>
      </c>
    </row>
    <row r="95" spans="1:7" x14ac:dyDescent="0.25">
      <c r="A95">
        <v>4980</v>
      </c>
      <c r="B95">
        <v>0.35699999999999998</v>
      </c>
      <c r="C95">
        <v>1.1299999999999999</v>
      </c>
      <c r="D95">
        <v>4.78</v>
      </c>
      <c r="E95">
        <v>3</v>
      </c>
      <c r="F95" t="s">
        <v>14</v>
      </c>
      <c r="G95" t="s">
        <v>17</v>
      </c>
    </row>
    <row r="96" spans="1:7" x14ac:dyDescent="0.25">
      <c r="A96">
        <v>9030</v>
      </c>
      <c r="B96">
        <v>45</v>
      </c>
      <c r="C96">
        <v>2.63</v>
      </c>
      <c r="D96">
        <v>1.45</v>
      </c>
      <c r="E96">
        <v>3</v>
      </c>
      <c r="F96" t="s">
        <v>9</v>
      </c>
      <c r="G96" t="s">
        <v>12</v>
      </c>
    </row>
    <row r="97" spans="1:7" x14ac:dyDescent="0.25">
      <c r="A97">
        <v>11250</v>
      </c>
      <c r="B97">
        <v>672</v>
      </c>
      <c r="C97">
        <v>6.98</v>
      </c>
      <c r="D97">
        <v>-2.2999999999999998</v>
      </c>
      <c r="E97">
        <v>3</v>
      </c>
      <c r="F97" t="s">
        <v>9</v>
      </c>
      <c r="G97" t="s">
        <v>12</v>
      </c>
    </row>
    <row r="98" spans="1:7" x14ac:dyDescent="0.25">
      <c r="A98">
        <v>5112</v>
      </c>
      <c r="B98">
        <v>0.63</v>
      </c>
      <c r="C98">
        <v>0.876</v>
      </c>
      <c r="D98">
        <v>4.68</v>
      </c>
      <c r="E98">
        <v>3</v>
      </c>
      <c r="F98" t="s">
        <v>7</v>
      </c>
      <c r="G98" t="s">
        <v>17</v>
      </c>
    </row>
    <row r="99" spans="1:7" x14ac:dyDescent="0.25">
      <c r="A99">
        <v>7720</v>
      </c>
      <c r="B99">
        <v>7.92</v>
      </c>
      <c r="C99">
        <v>1.34</v>
      </c>
      <c r="D99">
        <v>2.44</v>
      </c>
      <c r="E99">
        <v>3</v>
      </c>
      <c r="F99" t="s">
        <v>14</v>
      </c>
      <c r="G99" t="s">
        <v>13</v>
      </c>
    </row>
    <row r="100" spans="1:7" x14ac:dyDescent="0.25">
      <c r="A100">
        <v>12098</v>
      </c>
      <c r="B100">
        <v>689</v>
      </c>
      <c r="C100">
        <v>7.01</v>
      </c>
      <c r="D100">
        <v>0.02</v>
      </c>
      <c r="E100">
        <v>3</v>
      </c>
      <c r="F100" t="s">
        <v>9</v>
      </c>
      <c r="G100" t="s">
        <v>12</v>
      </c>
    </row>
    <row r="101" spans="1:7" x14ac:dyDescent="0.25">
      <c r="A101">
        <v>36108</v>
      </c>
      <c r="B101">
        <v>198000</v>
      </c>
      <c r="C101">
        <v>10.199999999999999</v>
      </c>
      <c r="D101">
        <v>-4.4000000000000004</v>
      </c>
      <c r="E101">
        <v>3</v>
      </c>
      <c r="F101" t="s">
        <v>15</v>
      </c>
      <c r="G101" t="s">
        <v>16</v>
      </c>
    </row>
    <row r="102" spans="1:7" x14ac:dyDescent="0.25">
      <c r="A102">
        <v>33300</v>
      </c>
      <c r="B102">
        <v>240000</v>
      </c>
      <c r="C102">
        <v>12</v>
      </c>
      <c r="D102">
        <v>-6.5</v>
      </c>
      <c r="E102">
        <v>4</v>
      </c>
      <c r="F102" t="s">
        <v>15</v>
      </c>
      <c r="G102" t="s">
        <v>10</v>
      </c>
    </row>
    <row r="103" spans="1:7" x14ac:dyDescent="0.25">
      <c r="A103">
        <v>40000</v>
      </c>
      <c r="B103">
        <v>813000</v>
      </c>
      <c r="C103">
        <v>14</v>
      </c>
      <c r="D103">
        <v>-6.23</v>
      </c>
      <c r="E103">
        <v>4</v>
      </c>
      <c r="F103" t="s">
        <v>15</v>
      </c>
      <c r="G103" t="s">
        <v>16</v>
      </c>
    </row>
    <row r="104" spans="1:7" x14ac:dyDescent="0.25">
      <c r="A104">
        <v>23000</v>
      </c>
      <c r="B104">
        <v>127000</v>
      </c>
      <c r="C104">
        <v>36</v>
      </c>
      <c r="D104">
        <v>-5.76</v>
      </c>
      <c r="E104">
        <v>4</v>
      </c>
      <c r="F104" t="s">
        <v>15</v>
      </c>
      <c r="G104" t="s">
        <v>16</v>
      </c>
    </row>
    <row r="105" spans="1:7" x14ac:dyDescent="0.25">
      <c r="A105">
        <v>17120</v>
      </c>
      <c r="B105">
        <v>235000</v>
      </c>
      <c r="C105">
        <v>83</v>
      </c>
      <c r="D105">
        <v>-6.89</v>
      </c>
      <c r="E105">
        <v>4</v>
      </c>
      <c r="F105" t="s">
        <v>15</v>
      </c>
      <c r="G105" t="s">
        <v>16</v>
      </c>
    </row>
    <row r="106" spans="1:7" x14ac:dyDescent="0.25">
      <c r="A106">
        <v>11096</v>
      </c>
      <c r="B106">
        <v>112000</v>
      </c>
      <c r="C106">
        <v>12</v>
      </c>
      <c r="D106">
        <v>-5.91</v>
      </c>
      <c r="E106">
        <v>4</v>
      </c>
      <c r="F106" t="s">
        <v>15</v>
      </c>
      <c r="G106" t="s">
        <v>16</v>
      </c>
    </row>
    <row r="107" spans="1:7" x14ac:dyDescent="0.25">
      <c r="A107">
        <v>14245</v>
      </c>
      <c r="B107">
        <v>231000</v>
      </c>
      <c r="C107">
        <v>42</v>
      </c>
      <c r="D107">
        <v>-6.12</v>
      </c>
      <c r="E107">
        <v>4</v>
      </c>
      <c r="F107" t="s">
        <v>15</v>
      </c>
      <c r="G107" t="s">
        <v>16</v>
      </c>
    </row>
    <row r="108" spans="1:7" x14ac:dyDescent="0.25">
      <c r="A108">
        <v>24630</v>
      </c>
      <c r="B108">
        <v>363000</v>
      </c>
      <c r="C108">
        <v>63</v>
      </c>
      <c r="D108">
        <v>-5.83</v>
      </c>
      <c r="E108">
        <v>4</v>
      </c>
      <c r="F108" t="s">
        <v>15</v>
      </c>
      <c r="G108" t="s">
        <v>16</v>
      </c>
    </row>
    <row r="109" spans="1:7" x14ac:dyDescent="0.25">
      <c r="A109">
        <v>12893</v>
      </c>
      <c r="B109">
        <v>184000</v>
      </c>
      <c r="C109">
        <v>36</v>
      </c>
      <c r="D109">
        <v>-6.34</v>
      </c>
      <c r="E109">
        <v>4</v>
      </c>
      <c r="F109" t="s">
        <v>15</v>
      </c>
      <c r="G109" t="s">
        <v>16</v>
      </c>
    </row>
    <row r="110" spans="1:7" x14ac:dyDescent="0.25">
      <c r="A110">
        <v>24345</v>
      </c>
      <c r="B110">
        <v>142000</v>
      </c>
      <c r="C110">
        <v>57</v>
      </c>
      <c r="D110">
        <v>-6.24</v>
      </c>
      <c r="E110">
        <v>4</v>
      </c>
      <c r="F110" t="s">
        <v>15</v>
      </c>
      <c r="G110" t="s">
        <v>16</v>
      </c>
    </row>
    <row r="111" spans="1:7" x14ac:dyDescent="0.25">
      <c r="A111">
        <v>33421</v>
      </c>
      <c r="B111">
        <v>352000</v>
      </c>
      <c r="C111">
        <v>67</v>
      </c>
      <c r="D111">
        <v>-5.79</v>
      </c>
      <c r="E111">
        <v>4</v>
      </c>
      <c r="F111" t="s">
        <v>15</v>
      </c>
      <c r="G111" t="s">
        <v>16</v>
      </c>
    </row>
    <row r="112" spans="1:7" x14ac:dyDescent="0.25">
      <c r="A112">
        <v>3459</v>
      </c>
      <c r="B112">
        <v>100000</v>
      </c>
      <c r="C112">
        <v>1289</v>
      </c>
      <c r="D112">
        <v>-10.7</v>
      </c>
      <c r="E112">
        <v>5</v>
      </c>
      <c r="F112" t="s">
        <v>7</v>
      </c>
      <c r="G112" t="s">
        <v>8</v>
      </c>
    </row>
    <row r="113" spans="1:7" x14ac:dyDescent="0.25">
      <c r="A113">
        <v>3605</v>
      </c>
      <c r="B113">
        <v>126000</v>
      </c>
      <c r="C113">
        <v>1124</v>
      </c>
      <c r="D113">
        <v>-10.81</v>
      </c>
      <c r="E113">
        <v>5</v>
      </c>
      <c r="F113" t="s">
        <v>7</v>
      </c>
      <c r="G113" t="s">
        <v>8</v>
      </c>
    </row>
    <row r="114" spans="1:7" x14ac:dyDescent="0.25">
      <c r="A114">
        <v>3615</v>
      </c>
      <c r="B114">
        <v>200000</v>
      </c>
      <c r="C114">
        <v>1635</v>
      </c>
      <c r="D114">
        <v>-11.33</v>
      </c>
      <c r="E114">
        <v>5</v>
      </c>
      <c r="F114" t="s">
        <v>7</v>
      </c>
      <c r="G114" t="s">
        <v>8</v>
      </c>
    </row>
    <row r="115" spans="1:7" x14ac:dyDescent="0.25">
      <c r="A115">
        <v>3399</v>
      </c>
      <c r="B115">
        <v>117000</v>
      </c>
      <c r="C115">
        <v>1486</v>
      </c>
      <c r="D115">
        <v>-10.92</v>
      </c>
      <c r="E115">
        <v>5</v>
      </c>
      <c r="F115" t="s">
        <v>7</v>
      </c>
      <c r="G115" t="s">
        <v>8</v>
      </c>
    </row>
    <row r="116" spans="1:7" x14ac:dyDescent="0.25">
      <c r="A116">
        <v>3610</v>
      </c>
      <c r="B116">
        <v>132000</v>
      </c>
      <c r="C116">
        <v>1522</v>
      </c>
      <c r="D116">
        <v>-10.86</v>
      </c>
      <c r="E116">
        <v>5</v>
      </c>
      <c r="F116" t="s">
        <v>7</v>
      </c>
      <c r="G116" t="s">
        <v>8</v>
      </c>
    </row>
    <row r="117" spans="1:7" x14ac:dyDescent="0.25">
      <c r="A117">
        <v>3553</v>
      </c>
      <c r="B117">
        <v>145000</v>
      </c>
      <c r="C117">
        <v>1324</v>
      </c>
      <c r="D117">
        <v>-11.03</v>
      </c>
      <c r="E117">
        <v>5</v>
      </c>
      <c r="F117" t="s">
        <v>7</v>
      </c>
      <c r="G117" t="s">
        <v>8</v>
      </c>
    </row>
    <row r="118" spans="1:7" x14ac:dyDescent="0.25">
      <c r="A118">
        <v>4015</v>
      </c>
      <c r="B118">
        <v>282000</v>
      </c>
      <c r="C118">
        <v>1534</v>
      </c>
      <c r="D118">
        <v>-11.39</v>
      </c>
      <c r="E118">
        <v>5</v>
      </c>
      <c r="F118" t="s">
        <v>7</v>
      </c>
      <c r="G118" t="s">
        <v>17</v>
      </c>
    </row>
    <row r="119" spans="1:7" x14ac:dyDescent="0.25">
      <c r="A119">
        <v>3625</v>
      </c>
      <c r="B119">
        <v>74000</v>
      </c>
      <c r="C119">
        <v>876</v>
      </c>
      <c r="D119">
        <v>-10.25</v>
      </c>
      <c r="E119">
        <v>5</v>
      </c>
      <c r="F119" t="s">
        <v>7</v>
      </c>
      <c r="G119" t="s">
        <v>8</v>
      </c>
    </row>
    <row r="120" spans="1:7" x14ac:dyDescent="0.25">
      <c r="A120">
        <v>6850</v>
      </c>
      <c r="B120">
        <v>229000</v>
      </c>
      <c r="C120">
        <v>1467</v>
      </c>
      <c r="D120">
        <v>-10.07</v>
      </c>
      <c r="E120">
        <v>5</v>
      </c>
      <c r="F120" t="s">
        <v>7</v>
      </c>
      <c r="G120" t="s">
        <v>18</v>
      </c>
    </row>
    <row r="121" spans="1:7" x14ac:dyDescent="0.25">
      <c r="A121">
        <v>3780</v>
      </c>
      <c r="B121">
        <v>200000</v>
      </c>
      <c r="C121">
        <v>1324</v>
      </c>
      <c r="D121">
        <v>-10.7</v>
      </c>
      <c r="E121">
        <v>5</v>
      </c>
      <c r="F121" t="s">
        <v>7</v>
      </c>
      <c r="G121" t="s">
        <v>8</v>
      </c>
    </row>
    <row r="122" spans="1:7" x14ac:dyDescent="0.25">
      <c r="A122">
        <v>3323</v>
      </c>
      <c r="B122">
        <v>4.2999999999999999E-4</v>
      </c>
      <c r="C122">
        <v>9.1200000000000003E-2</v>
      </c>
      <c r="D122">
        <v>17.16</v>
      </c>
      <c r="E122">
        <v>0</v>
      </c>
      <c r="F122" t="s">
        <v>7</v>
      </c>
      <c r="G122" t="s">
        <v>8</v>
      </c>
    </row>
    <row r="123" spans="1:7" x14ac:dyDescent="0.25">
      <c r="A123">
        <v>3531</v>
      </c>
      <c r="B123">
        <v>9.3000000000000005E-4</v>
      </c>
      <c r="C123">
        <v>9.7600000000000006E-2</v>
      </c>
      <c r="D123">
        <v>19.940000000000001</v>
      </c>
      <c r="E123">
        <v>0</v>
      </c>
      <c r="F123" t="s">
        <v>7</v>
      </c>
      <c r="G123" t="s">
        <v>8</v>
      </c>
    </row>
    <row r="124" spans="1:7" x14ac:dyDescent="0.25">
      <c r="A124">
        <v>3218</v>
      </c>
      <c r="B124">
        <v>5.4000000000000001E-4</v>
      </c>
      <c r="C124">
        <v>0.11</v>
      </c>
      <c r="D124">
        <v>20.02</v>
      </c>
      <c r="E124">
        <v>0</v>
      </c>
      <c r="F124" t="s">
        <v>7</v>
      </c>
      <c r="G124" t="s">
        <v>8</v>
      </c>
    </row>
    <row r="125" spans="1:7" x14ac:dyDescent="0.25">
      <c r="A125">
        <v>3146</v>
      </c>
      <c r="B125">
        <v>1.4999999999999999E-4</v>
      </c>
      <c r="C125">
        <v>9.3200000000000005E-2</v>
      </c>
      <c r="D125">
        <v>16.920000000000002</v>
      </c>
      <c r="E125">
        <v>0</v>
      </c>
      <c r="F125" t="s">
        <v>7</v>
      </c>
      <c r="G125" t="s">
        <v>8</v>
      </c>
    </row>
    <row r="126" spans="1:7" x14ac:dyDescent="0.25">
      <c r="A126">
        <v>3511</v>
      </c>
      <c r="B126">
        <v>6.4000000000000005E-4</v>
      </c>
      <c r="C126">
        <v>0.109</v>
      </c>
      <c r="D126">
        <v>17.12</v>
      </c>
      <c r="E126">
        <v>0</v>
      </c>
      <c r="F126" t="s">
        <v>7</v>
      </c>
      <c r="G126" t="s">
        <v>8</v>
      </c>
    </row>
    <row r="127" spans="1:7" x14ac:dyDescent="0.25">
      <c r="A127">
        <v>3225</v>
      </c>
      <c r="B127">
        <v>7.6000000000000004E-4</v>
      </c>
      <c r="C127">
        <v>0.121</v>
      </c>
      <c r="D127">
        <v>19.63</v>
      </c>
      <c r="E127">
        <v>0</v>
      </c>
      <c r="F127" t="s">
        <v>7</v>
      </c>
      <c r="G127" t="s">
        <v>8</v>
      </c>
    </row>
    <row r="128" spans="1:7" x14ac:dyDescent="0.25">
      <c r="A128">
        <v>2935</v>
      </c>
      <c r="B128">
        <v>8.7000000000000001E-4</v>
      </c>
      <c r="C128">
        <v>9.3200000000000005E-2</v>
      </c>
      <c r="D128">
        <v>16.88</v>
      </c>
      <c r="E128">
        <v>0</v>
      </c>
      <c r="F128" t="s">
        <v>7</v>
      </c>
      <c r="G128" t="s">
        <v>8</v>
      </c>
    </row>
    <row r="129" spans="1:7" x14ac:dyDescent="0.25">
      <c r="A129">
        <v>2861</v>
      </c>
      <c r="B129">
        <v>1.9000000000000001E-4</v>
      </c>
      <c r="C129">
        <v>8.9899999999999994E-2</v>
      </c>
      <c r="D129">
        <v>16.71</v>
      </c>
      <c r="E129">
        <v>0</v>
      </c>
      <c r="F129" t="s">
        <v>7</v>
      </c>
      <c r="G129" t="s">
        <v>8</v>
      </c>
    </row>
    <row r="130" spans="1:7" x14ac:dyDescent="0.25">
      <c r="A130">
        <v>2856</v>
      </c>
      <c r="B130">
        <v>8.9599999999999999E-4</v>
      </c>
      <c r="C130">
        <v>7.8200000000000006E-2</v>
      </c>
      <c r="D130">
        <v>19.559999999999999</v>
      </c>
      <c r="E130">
        <v>0</v>
      </c>
      <c r="F130" t="s">
        <v>7</v>
      </c>
      <c r="G130" t="s">
        <v>8</v>
      </c>
    </row>
    <row r="131" spans="1:7" x14ac:dyDescent="0.25">
      <c r="A131">
        <v>2731</v>
      </c>
      <c r="B131">
        <v>4.37E-4</v>
      </c>
      <c r="C131">
        <v>8.5599999999999996E-2</v>
      </c>
      <c r="D131">
        <v>18.09</v>
      </c>
      <c r="E131">
        <v>0</v>
      </c>
      <c r="F131" t="s">
        <v>7</v>
      </c>
      <c r="G131" t="s">
        <v>8</v>
      </c>
    </row>
    <row r="132" spans="1:7" x14ac:dyDescent="0.25">
      <c r="A132">
        <v>3095</v>
      </c>
      <c r="B132">
        <v>1.9000000000000001E-4</v>
      </c>
      <c r="C132">
        <v>0.49199999999999999</v>
      </c>
      <c r="D132">
        <v>10.87</v>
      </c>
      <c r="E132">
        <v>1</v>
      </c>
      <c r="F132" t="s">
        <v>7</v>
      </c>
      <c r="G132" t="s">
        <v>8</v>
      </c>
    </row>
    <row r="133" spans="1:7" x14ac:dyDescent="0.25">
      <c r="A133">
        <v>3607</v>
      </c>
      <c r="B133">
        <v>2.3000000000000001E-4</v>
      </c>
      <c r="C133">
        <v>0.38</v>
      </c>
      <c r="D133">
        <v>10.34</v>
      </c>
      <c r="E133">
        <v>1</v>
      </c>
      <c r="F133" t="s">
        <v>7</v>
      </c>
      <c r="G133" t="s">
        <v>8</v>
      </c>
    </row>
    <row r="134" spans="1:7" x14ac:dyDescent="0.25">
      <c r="A134">
        <v>3100</v>
      </c>
      <c r="B134">
        <v>8.0000000000000002E-3</v>
      </c>
      <c r="C134">
        <v>0.31</v>
      </c>
      <c r="D134">
        <v>11.17</v>
      </c>
      <c r="E134">
        <v>1</v>
      </c>
      <c r="F134" t="s">
        <v>7</v>
      </c>
      <c r="G134" t="s">
        <v>8</v>
      </c>
    </row>
    <row r="135" spans="1:7" x14ac:dyDescent="0.25">
      <c r="A135">
        <v>2989</v>
      </c>
      <c r="B135">
        <v>8.6999999999999994E-3</v>
      </c>
      <c r="C135">
        <v>0.34</v>
      </c>
      <c r="D135">
        <v>13.12</v>
      </c>
      <c r="E135">
        <v>1</v>
      </c>
      <c r="F135" t="s">
        <v>7</v>
      </c>
      <c r="G135" t="s">
        <v>8</v>
      </c>
    </row>
    <row r="136" spans="1:7" x14ac:dyDescent="0.25">
      <c r="A136">
        <v>3542</v>
      </c>
      <c r="B136">
        <v>8.9999999999999998E-4</v>
      </c>
      <c r="C136">
        <v>0.62</v>
      </c>
      <c r="D136">
        <v>14.23</v>
      </c>
      <c r="E136">
        <v>1</v>
      </c>
      <c r="F136" t="s">
        <v>7</v>
      </c>
      <c r="G136" t="s">
        <v>8</v>
      </c>
    </row>
    <row r="137" spans="1:7" x14ac:dyDescent="0.25">
      <c r="A137">
        <v>3243</v>
      </c>
      <c r="B137">
        <v>2.3E-3</v>
      </c>
      <c r="C137">
        <v>0.73</v>
      </c>
      <c r="D137">
        <v>14.75</v>
      </c>
      <c r="E137">
        <v>1</v>
      </c>
      <c r="F137" t="s">
        <v>7</v>
      </c>
      <c r="G137" t="s">
        <v>8</v>
      </c>
    </row>
    <row r="138" spans="1:7" x14ac:dyDescent="0.25">
      <c r="A138">
        <v>3091</v>
      </c>
      <c r="B138">
        <v>8.0999999999999996E-3</v>
      </c>
      <c r="C138">
        <v>0.24</v>
      </c>
      <c r="D138">
        <v>11.43</v>
      </c>
      <c r="E138">
        <v>1</v>
      </c>
      <c r="F138" t="s">
        <v>7</v>
      </c>
      <c r="G138" t="s">
        <v>8</v>
      </c>
    </row>
    <row r="139" spans="1:7" x14ac:dyDescent="0.25">
      <c r="A139">
        <v>3598</v>
      </c>
      <c r="B139">
        <v>1.1000000000000001E-3</v>
      </c>
      <c r="C139">
        <v>0.56000000000000005</v>
      </c>
      <c r="D139">
        <v>14.26</v>
      </c>
      <c r="E139">
        <v>1</v>
      </c>
      <c r="F139" t="s">
        <v>7</v>
      </c>
      <c r="G139" t="s">
        <v>8</v>
      </c>
    </row>
    <row r="140" spans="1:7" x14ac:dyDescent="0.25">
      <c r="A140">
        <v>3324</v>
      </c>
      <c r="B140">
        <v>3.3999999999999998E-3</v>
      </c>
      <c r="C140">
        <v>0.34</v>
      </c>
      <c r="D140">
        <v>12.23</v>
      </c>
      <c r="E140">
        <v>1</v>
      </c>
      <c r="F140" t="s">
        <v>7</v>
      </c>
      <c r="G140" t="s">
        <v>8</v>
      </c>
    </row>
    <row r="141" spans="1:7" x14ac:dyDescent="0.25">
      <c r="A141">
        <v>3541</v>
      </c>
      <c r="B141">
        <v>1.2999999999999999E-3</v>
      </c>
      <c r="C141">
        <v>0.25600000000000001</v>
      </c>
      <c r="D141">
        <v>14.33</v>
      </c>
      <c r="E141">
        <v>1</v>
      </c>
      <c r="F141" t="s">
        <v>7</v>
      </c>
      <c r="G141" t="s">
        <v>8</v>
      </c>
    </row>
    <row r="142" spans="1:7" x14ac:dyDescent="0.25">
      <c r="A142">
        <v>13420</v>
      </c>
      <c r="B142">
        <v>5.9000000000000003E-4</v>
      </c>
      <c r="C142">
        <v>9.8099999999999993E-3</v>
      </c>
      <c r="D142">
        <v>13.67</v>
      </c>
      <c r="E142">
        <v>2</v>
      </c>
      <c r="F142" t="s">
        <v>9</v>
      </c>
      <c r="G142" t="s">
        <v>10</v>
      </c>
    </row>
    <row r="143" spans="1:7" x14ac:dyDescent="0.25">
      <c r="A143">
        <v>21020</v>
      </c>
      <c r="B143">
        <v>1.5E-3</v>
      </c>
      <c r="C143">
        <v>1.12E-2</v>
      </c>
      <c r="D143">
        <v>11.52</v>
      </c>
      <c r="E143">
        <v>2</v>
      </c>
      <c r="F143" t="s">
        <v>15</v>
      </c>
      <c r="G143" t="s">
        <v>10</v>
      </c>
    </row>
    <row r="144" spans="1:7" x14ac:dyDescent="0.25">
      <c r="A144">
        <v>18290</v>
      </c>
      <c r="B144">
        <v>1.2999999999999999E-3</v>
      </c>
      <c r="C144">
        <v>9.3399999999999993E-3</v>
      </c>
      <c r="D144">
        <v>12.78</v>
      </c>
      <c r="E144">
        <v>2</v>
      </c>
      <c r="F144" t="s">
        <v>15</v>
      </c>
      <c r="G144" t="s">
        <v>10</v>
      </c>
    </row>
    <row r="145" spans="1:7" x14ac:dyDescent="0.25">
      <c r="A145">
        <v>14520</v>
      </c>
      <c r="B145">
        <v>8.1999999999999998E-4</v>
      </c>
      <c r="C145">
        <v>9.7199999999999995E-3</v>
      </c>
      <c r="D145">
        <v>11.92</v>
      </c>
      <c r="E145">
        <v>2</v>
      </c>
      <c r="F145" t="s">
        <v>9</v>
      </c>
      <c r="G145" t="s">
        <v>10</v>
      </c>
    </row>
    <row r="146" spans="1:7" x14ac:dyDescent="0.25">
      <c r="A146">
        <v>11900</v>
      </c>
      <c r="B146">
        <v>6.7000000000000002E-4</v>
      </c>
      <c r="C146">
        <v>8.9800000000000001E-3</v>
      </c>
      <c r="D146">
        <v>11.38</v>
      </c>
      <c r="E146">
        <v>2</v>
      </c>
      <c r="F146" t="s">
        <v>9</v>
      </c>
      <c r="G146" t="s">
        <v>10</v>
      </c>
    </row>
    <row r="147" spans="1:7" x14ac:dyDescent="0.25">
      <c r="A147">
        <v>8924</v>
      </c>
      <c r="B147">
        <v>2.7999999999999998E-4</v>
      </c>
      <c r="C147">
        <v>8.7899999999999992E-3</v>
      </c>
      <c r="D147">
        <v>14.87</v>
      </c>
      <c r="E147">
        <v>2</v>
      </c>
      <c r="F147" t="s">
        <v>9</v>
      </c>
      <c r="G147" t="s">
        <v>12</v>
      </c>
    </row>
    <row r="148" spans="1:7" x14ac:dyDescent="0.25">
      <c r="A148">
        <v>12912</v>
      </c>
      <c r="B148">
        <v>7.1000000000000002E-4</v>
      </c>
      <c r="C148">
        <v>9.4500000000000001E-3</v>
      </c>
      <c r="D148">
        <v>12.83</v>
      </c>
      <c r="E148">
        <v>2</v>
      </c>
      <c r="F148" t="s">
        <v>9</v>
      </c>
      <c r="G148" t="s">
        <v>10</v>
      </c>
    </row>
    <row r="149" spans="1:7" x14ac:dyDescent="0.25">
      <c r="A149">
        <v>14732</v>
      </c>
      <c r="B149">
        <v>1.1E-4</v>
      </c>
      <c r="C149">
        <v>8.9200000000000008E-3</v>
      </c>
      <c r="D149">
        <v>12.89</v>
      </c>
      <c r="E149">
        <v>2</v>
      </c>
      <c r="F149" t="s">
        <v>11</v>
      </c>
      <c r="G149" t="s">
        <v>13</v>
      </c>
    </row>
    <row r="150" spans="1:7" x14ac:dyDescent="0.25">
      <c r="A150">
        <v>7723</v>
      </c>
      <c r="B150">
        <v>1.3999999999999999E-4</v>
      </c>
      <c r="C150">
        <v>8.7799999999999996E-3</v>
      </c>
      <c r="D150">
        <v>14.81</v>
      </c>
      <c r="E150">
        <v>2</v>
      </c>
      <c r="F150" t="s">
        <v>11</v>
      </c>
      <c r="G150" t="s">
        <v>12</v>
      </c>
    </row>
    <row r="151" spans="1:7" x14ac:dyDescent="0.25">
      <c r="A151">
        <v>12984</v>
      </c>
      <c r="B151">
        <v>8.8000000000000003E-4</v>
      </c>
      <c r="C151">
        <v>9.9600000000000001E-3</v>
      </c>
      <c r="D151">
        <v>11.23</v>
      </c>
      <c r="E151">
        <v>2</v>
      </c>
      <c r="F151" t="s">
        <v>9</v>
      </c>
      <c r="G151" t="s">
        <v>10</v>
      </c>
    </row>
    <row r="152" spans="1:7" x14ac:dyDescent="0.25">
      <c r="A152">
        <v>29560</v>
      </c>
      <c r="B152">
        <v>188000</v>
      </c>
      <c r="C152">
        <v>6.02</v>
      </c>
      <c r="D152">
        <v>-4.01</v>
      </c>
      <c r="E152">
        <v>3</v>
      </c>
      <c r="F152" t="s">
        <v>9</v>
      </c>
      <c r="G152" t="s">
        <v>10</v>
      </c>
    </row>
    <row r="153" spans="1:7" x14ac:dyDescent="0.25">
      <c r="A153">
        <v>8945</v>
      </c>
      <c r="B153">
        <v>38</v>
      </c>
      <c r="C153">
        <v>2.4870000000000001</v>
      </c>
      <c r="D153">
        <v>0.12</v>
      </c>
      <c r="E153">
        <v>3</v>
      </c>
      <c r="F153" t="s">
        <v>9</v>
      </c>
      <c r="G153" t="s">
        <v>12</v>
      </c>
    </row>
    <row r="154" spans="1:7" x14ac:dyDescent="0.25">
      <c r="A154">
        <v>14060</v>
      </c>
      <c r="B154">
        <v>1092</v>
      </c>
      <c r="C154">
        <v>5.7450000000000001</v>
      </c>
      <c r="D154">
        <v>-2.04</v>
      </c>
      <c r="E154">
        <v>3</v>
      </c>
      <c r="F154" t="s">
        <v>9</v>
      </c>
      <c r="G154" t="s">
        <v>12</v>
      </c>
    </row>
    <row r="155" spans="1:7" x14ac:dyDescent="0.25">
      <c r="A155">
        <v>16390</v>
      </c>
      <c r="B155">
        <v>1278</v>
      </c>
      <c r="C155">
        <v>5.68</v>
      </c>
      <c r="D155">
        <v>-3.32</v>
      </c>
      <c r="E155">
        <v>3</v>
      </c>
      <c r="F155" t="s">
        <v>9</v>
      </c>
      <c r="G155" t="s">
        <v>10</v>
      </c>
    </row>
    <row r="156" spans="1:7" x14ac:dyDescent="0.25">
      <c r="A156">
        <v>25070</v>
      </c>
      <c r="B156">
        <v>14500</v>
      </c>
      <c r="C156">
        <v>5.92</v>
      </c>
      <c r="D156">
        <v>-3.98</v>
      </c>
      <c r="E156">
        <v>3</v>
      </c>
      <c r="F156" t="s">
        <v>9</v>
      </c>
      <c r="G156" t="s">
        <v>10</v>
      </c>
    </row>
    <row r="157" spans="1:7" x14ac:dyDescent="0.25">
      <c r="A157">
        <v>28700</v>
      </c>
      <c r="B157">
        <v>16790</v>
      </c>
      <c r="C157">
        <v>6.4</v>
      </c>
      <c r="D157">
        <v>-4.09</v>
      </c>
      <c r="E157">
        <v>3</v>
      </c>
      <c r="F157" t="s">
        <v>9</v>
      </c>
      <c r="G157" t="s">
        <v>10</v>
      </c>
    </row>
    <row r="158" spans="1:7" x14ac:dyDescent="0.25">
      <c r="A158">
        <v>26140</v>
      </c>
      <c r="B158">
        <v>14520</v>
      </c>
      <c r="C158">
        <v>5.49</v>
      </c>
      <c r="D158">
        <v>-3.8</v>
      </c>
      <c r="E158">
        <v>3</v>
      </c>
      <c r="F158" t="s">
        <v>9</v>
      </c>
      <c r="G158" t="s">
        <v>10</v>
      </c>
    </row>
    <row r="159" spans="1:7" x14ac:dyDescent="0.25">
      <c r="A159">
        <v>20120</v>
      </c>
      <c r="B159">
        <v>4720</v>
      </c>
      <c r="C159">
        <v>6.78</v>
      </c>
      <c r="D159">
        <v>-3.4</v>
      </c>
      <c r="E159">
        <v>3</v>
      </c>
      <c r="F159" t="s">
        <v>9</v>
      </c>
      <c r="G159" t="s">
        <v>10</v>
      </c>
    </row>
    <row r="160" spans="1:7" x14ac:dyDescent="0.25">
      <c r="A160">
        <v>13023</v>
      </c>
      <c r="B160">
        <v>998</v>
      </c>
      <c r="C160">
        <v>6.21</v>
      </c>
      <c r="D160">
        <v>-1.38</v>
      </c>
      <c r="E160">
        <v>3</v>
      </c>
      <c r="F160" t="s">
        <v>9</v>
      </c>
      <c r="G160" t="s">
        <v>12</v>
      </c>
    </row>
    <row r="161" spans="1:7" x14ac:dyDescent="0.25">
      <c r="A161">
        <v>37800</v>
      </c>
      <c r="B161">
        <v>202900</v>
      </c>
      <c r="C161">
        <v>6.86</v>
      </c>
      <c r="D161">
        <v>-4.5599999999999996</v>
      </c>
      <c r="E161">
        <v>3</v>
      </c>
      <c r="F161" t="s">
        <v>15</v>
      </c>
      <c r="G161" t="s">
        <v>16</v>
      </c>
    </row>
    <row r="162" spans="1:7" x14ac:dyDescent="0.25">
      <c r="A162">
        <v>25390</v>
      </c>
      <c r="B162">
        <v>223000</v>
      </c>
      <c r="C162">
        <v>57</v>
      </c>
      <c r="D162">
        <v>-5.92</v>
      </c>
      <c r="E162">
        <v>4</v>
      </c>
      <c r="F162" t="s">
        <v>15</v>
      </c>
      <c r="G162" t="s">
        <v>16</v>
      </c>
    </row>
    <row r="163" spans="1:7" x14ac:dyDescent="0.25">
      <c r="A163">
        <v>11567</v>
      </c>
      <c r="B163">
        <v>251000</v>
      </c>
      <c r="C163">
        <v>36</v>
      </c>
      <c r="D163">
        <v>-6.2450000000000001</v>
      </c>
      <c r="E163">
        <v>4</v>
      </c>
      <c r="F163" t="s">
        <v>15</v>
      </c>
      <c r="G163" t="s">
        <v>16</v>
      </c>
    </row>
    <row r="164" spans="1:7" x14ac:dyDescent="0.25">
      <c r="A164">
        <v>12675</v>
      </c>
      <c r="B164">
        <v>452000</v>
      </c>
      <c r="C164">
        <v>83</v>
      </c>
      <c r="D164">
        <v>-5.62</v>
      </c>
      <c r="E164">
        <v>4</v>
      </c>
      <c r="F164" t="s">
        <v>15</v>
      </c>
      <c r="G164" t="s">
        <v>16</v>
      </c>
    </row>
    <row r="165" spans="1:7" x14ac:dyDescent="0.25">
      <c r="A165">
        <v>5752</v>
      </c>
      <c r="B165">
        <v>245000</v>
      </c>
      <c r="C165">
        <v>97</v>
      </c>
      <c r="D165">
        <v>-6.63</v>
      </c>
      <c r="E165">
        <v>4</v>
      </c>
      <c r="F165" t="s">
        <v>15</v>
      </c>
      <c r="G165" t="s">
        <v>16</v>
      </c>
    </row>
    <row r="166" spans="1:7" x14ac:dyDescent="0.25">
      <c r="A166">
        <v>8927</v>
      </c>
      <c r="B166">
        <v>239000</v>
      </c>
      <c r="C166">
        <v>35</v>
      </c>
      <c r="D166">
        <v>-7.34</v>
      </c>
      <c r="E166">
        <v>4</v>
      </c>
      <c r="F166" t="s">
        <v>15</v>
      </c>
      <c r="G166" t="s">
        <v>16</v>
      </c>
    </row>
    <row r="167" spans="1:7" x14ac:dyDescent="0.25">
      <c r="A167">
        <v>7282</v>
      </c>
      <c r="B167">
        <v>131000</v>
      </c>
      <c r="C167">
        <v>24</v>
      </c>
      <c r="D167">
        <v>-7.22</v>
      </c>
      <c r="E167">
        <v>4</v>
      </c>
      <c r="F167" t="s">
        <v>15</v>
      </c>
      <c r="G167" t="s">
        <v>16</v>
      </c>
    </row>
    <row r="168" spans="1:7" x14ac:dyDescent="0.25">
      <c r="A168">
        <v>19923</v>
      </c>
      <c r="B168">
        <v>152000</v>
      </c>
      <c r="C168">
        <v>73</v>
      </c>
      <c r="D168">
        <v>-5.69</v>
      </c>
      <c r="E168">
        <v>4</v>
      </c>
      <c r="F168" t="s">
        <v>15</v>
      </c>
      <c r="G168" t="s">
        <v>16</v>
      </c>
    </row>
    <row r="169" spans="1:7" x14ac:dyDescent="0.25">
      <c r="A169">
        <v>26373</v>
      </c>
      <c r="B169">
        <v>198000</v>
      </c>
      <c r="C169">
        <v>39</v>
      </c>
      <c r="D169">
        <v>-5.83</v>
      </c>
      <c r="E169">
        <v>4</v>
      </c>
      <c r="F169" t="s">
        <v>15</v>
      </c>
      <c r="G169" t="s">
        <v>16</v>
      </c>
    </row>
    <row r="170" spans="1:7" x14ac:dyDescent="0.25">
      <c r="A170">
        <v>17383</v>
      </c>
      <c r="B170">
        <v>342900</v>
      </c>
      <c r="C170">
        <v>30</v>
      </c>
      <c r="D170">
        <v>-6.09</v>
      </c>
      <c r="E170">
        <v>4</v>
      </c>
      <c r="F170" t="s">
        <v>15</v>
      </c>
      <c r="G170" t="s">
        <v>16</v>
      </c>
    </row>
    <row r="171" spans="1:7" x14ac:dyDescent="0.25">
      <c r="A171">
        <v>9373</v>
      </c>
      <c r="B171">
        <v>424520</v>
      </c>
      <c r="C171">
        <v>24</v>
      </c>
      <c r="D171">
        <v>-5.99</v>
      </c>
      <c r="E171">
        <v>4</v>
      </c>
      <c r="F171" t="s">
        <v>15</v>
      </c>
      <c r="G171" t="s">
        <v>16</v>
      </c>
    </row>
    <row r="172" spans="1:7" x14ac:dyDescent="0.25">
      <c r="A172">
        <v>3570</v>
      </c>
      <c r="B172">
        <v>320000</v>
      </c>
      <c r="C172">
        <v>1480</v>
      </c>
      <c r="D172">
        <v>-7.58</v>
      </c>
      <c r="E172">
        <v>5</v>
      </c>
      <c r="F172" t="s">
        <v>7</v>
      </c>
      <c r="G172" t="s">
        <v>8</v>
      </c>
    </row>
    <row r="173" spans="1:7" x14ac:dyDescent="0.25">
      <c r="A173">
        <v>3500</v>
      </c>
      <c r="B173">
        <v>138000</v>
      </c>
      <c r="C173">
        <v>1420</v>
      </c>
      <c r="D173">
        <v>-8.18</v>
      </c>
      <c r="E173">
        <v>5</v>
      </c>
      <c r="F173" t="s">
        <v>7</v>
      </c>
      <c r="G173" t="s">
        <v>8</v>
      </c>
    </row>
    <row r="174" spans="1:7" x14ac:dyDescent="0.25">
      <c r="A174">
        <v>4287</v>
      </c>
      <c r="B174">
        <v>630000</v>
      </c>
      <c r="C174">
        <v>1315</v>
      </c>
      <c r="D174">
        <v>-9.1999999999999993</v>
      </c>
      <c r="E174">
        <v>5</v>
      </c>
      <c r="F174" t="s">
        <v>7</v>
      </c>
      <c r="G174" t="s">
        <v>17</v>
      </c>
    </row>
    <row r="175" spans="1:7" x14ac:dyDescent="0.25">
      <c r="A175">
        <v>26000</v>
      </c>
      <c r="B175">
        <v>316000</v>
      </c>
      <c r="C175">
        <v>1679</v>
      </c>
      <c r="D175">
        <v>-9.1</v>
      </c>
      <c r="E175">
        <v>5</v>
      </c>
      <c r="F175" t="s">
        <v>15</v>
      </c>
      <c r="G175" t="s">
        <v>10</v>
      </c>
    </row>
    <row r="176" spans="1:7" x14ac:dyDescent="0.25">
      <c r="A176">
        <v>3600</v>
      </c>
      <c r="B176">
        <v>240000</v>
      </c>
      <c r="C176">
        <v>1190</v>
      </c>
      <c r="D176">
        <v>-7.89</v>
      </c>
      <c r="E176">
        <v>5</v>
      </c>
      <c r="F176" t="s">
        <v>7</v>
      </c>
      <c r="G176" t="s">
        <v>8</v>
      </c>
    </row>
    <row r="177" spans="1:7" x14ac:dyDescent="0.25">
      <c r="A177">
        <v>3614</v>
      </c>
      <c r="B177">
        <v>145000</v>
      </c>
      <c r="C177">
        <v>1553</v>
      </c>
      <c r="D177">
        <v>-7.71</v>
      </c>
      <c r="E177">
        <v>5</v>
      </c>
      <c r="F177" t="s">
        <v>7</v>
      </c>
      <c r="G177" t="s">
        <v>8</v>
      </c>
    </row>
    <row r="178" spans="1:7" x14ac:dyDescent="0.25">
      <c r="A178">
        <v>18000</v>
      </c>
      <c r="B178">
        <v>200000</v>
      </c>
      <c r="C178">
        <v>1045</v>
      </c>
      <c r="D178">
        <v>-8.3000000000000007</v>
      </c>
      <c r="E178">
        <v>5</v>
      </c>
      <c r="F178" t="s">
        <v>15</v>
      </c>
      <c r="G178" t="s">
        <v>16</v>
      </c>
    </row>
    <row r="179" spans="1:7" x14ac:dyDescent="0.25">
      <c r="A179">
        <v>11000</v>
      </c>
      <c r="B179">
        <v>170000</v>
      </c>
      <c r="C179">
        <v>1779</v>
      </c>
      <c r="D179">
        <v>-9.9</v>
      </c>
      <c r="E179">
        <v>5</v>
      </c>
      <c r="F179" t="s">
        <v>9</v>
      </c>
      <c r="G179" t="s">
        <v>10</v>
      </c>
    </row>
    <row r="180" spans="1:7" x14ac:dyDescent="0.25">
      <c r="A180">
        <v>12100</v>
      </c>
      <c r="B180">
        <v>120000</v>
      </c>
      <c r="C180">
        <v>708.9</v>
      </c>
      <c r="D180">
        <v>-7.84</v>
      </c>
      <c r="E180">
        <v>5</v>
      </c>
      <c r="F180" t="s">
        <v>9</v>
      </c>
      <c r="G180" t="s">
        <v>10</v>
      </c>
    </row>
    <row r="181" spans="1:7" x14ac:dyDescent="0.25">
      <c r="A181">
        <v>24490</v>
      </c>
      <c r="B181">
        <v>248490</v>
      </c>
      <c r="C181">
        <v>1134.5</v>
      </c>
      <c r="D181">
        <v>-8.24</v>
      </c>
      <c r="E181">
        <v>5</v>
      </c>
      <c r="F181" t="s">
        <v>9</v>
      </c>
      <c r="G181" t="s">
        <v>10</v>
      </c>
    </row>
    <row r="182" spans="1:7" x14ac:dyDescent="0.25">
      <c r="A182">
        <v>2831</v>
      </c>
      <c r="B182">
        <v>2.31E-4</v>
      </c>
      <c r="C182">
        <v>9.1499999999999998E-2</v>
      </c>
      <c r="D182">
        <v>16.21</v>
      </c>
      <c r="E182">
        <v>0</v>
      </c>
      <c r="F182" t="s">
        <v>7</v>
      </c>
      <c r="G182" t="s">
        <v>8</v>
      </c>
    </row>
    <row r="183" spans="1:7" x14ac:dyDescent="0.25">
      <c r="A183">
        <v>2914</v>
      </c>
      <c r="B183">
        <v>6.3100000000000005E-4</v>
      </c>
      <c r="C183">
        <v>0.11600000000000001</v>
      </c>
      <c r="D183">
        <v>18.39</v>
      </c>
      <c r="E183">
        <v>0</v>
      </c>
      <c r="F183" t="s">
        <v>7</v>
      </c>
      <c r="G183" t="s">
        <v>8</v>
      </c>
    </row>
    <row r="184" spans="1:7" x14ac:dyDescent="0.25">
      <c r="A184">
        <v>3419</v>
      </c>
      <c r="B184">
        <v>2.4499999999999999E-4</v>
      </c>
      <c r="C184">
        <v>0.126</v>
      </c>
      <c r="D184">
        <v>17.559999999999999</v>
      </c>
      <c r="E184">
        <v>0</v>
      </c>
      <c r="F184" t="s">
        <v>7</v>
      </c>
      <c r="G184" t="s">
        <v>8</v>
      </c>
    </row>
    <row r="185" spans="1:7" x14ac:dyDescent="0.25">
      <c r="A185">
        <v>3218</v>
      </c>
      <c r="B185">
        <v>4.5199999999999998E-4</v>
      </c>
      <c r="C185">
        <v>9.8699999999999996E-2</v>
      </c>
      <c r="D185">
        <v>17.34</v>
      </c>
      <c r="E185">
        <v>0</v>
      </c>
      <c r="F185" t="s">
        <v>7</v>
      </c>
      <c r="G185" t="s">
        <v>8</v>
      </c>
    </row>
    <row r="186" spans="1:7" x14ac:dyDescent="0.25">
      <c r="A186">
        <v>3453</v>
      </c>
      <c r="B186">
        <v>6.2100000000000002E-4</v>
      </c>
      <c r="C186">
        <v>7.7299999999999994E-2</v>
      </c>
      <c r="D186">
        <v>17.079999999999998</v>
      </c>
      <c r="E186">
        <v>0</v>
      </c>
      <c r="F186" t="s">
        <v>7</v>
      </c>
      <c r="G186" t="s">
        <v>8</v>
      </c>
    </row>
    <row r="187" spans="1:7" x14ac:dyDescent="0.25">
      <c r="A187">
        <v>2889</v>
      </c>
      <c r="B187">
        <v>3.5199999999999999E-4</v>
      </c>
      <c r="C187">
        <v>9.7299999999999998E-2</v>
      </c>
      <c r="D187">
        <v>16.93</v>
      </c>
      <c r="E187">
        <v>0</v>
      </c>
      <c r="F187" t="s">
        <v>7</v>
      </c>
      <c r="G187" t="s">
        <v>8</v>
      </c>
    </row>
    <row r="188" spans="1:7" x14ac:dyDescent="0.25">
      <c r="A188">
        <v>2968</v>
      </c>
      <c r="B188">
        <v>4.6099999999999998E-4</v>
      </c>
      <c r="C188">
        <v>0.11899999999999999</v>
      </c>
      <c r="D188">
        <v>17.45</v>
      </c>
      <c r="E188">
        <v>0</v>
      </c>
      <c r="F188" t="s">
        <v>7</v>
      </c>
      <c r="G188" t="s">
        <v>8</v>
      </c>
    </row>
    <row r="189" spans="1:7" x14ac:dyDescent="0.25">
      <c r="A189">
        <v>3484</v>
      </c>
      <c r="B189">
        <v>5.5099999999999995E-4</v>
      </c>
      <c r="C189">
        <v>9.98E-2</v>
      </c>
      <c r="D189">
        <v>16.670000000000002</v>
      </c>
      <c r="E189">
        <v>0</v>
      </c>
      <c r="F189" t="s">
        <v>7</v>
      </c>
      <c r="G189" t="s">
        <v>8</v>
      </c>
    </row>
    <row r="190" spans="1:7" x14ac:dyDescent="0.25">
      <c r="A190">
        <v>2778</v>
      </c>
      <c r="B190">
        <v>8.4900000000000004E-4</v>
      </c>
      <c r="C190">
        <v>0.112</v>
      </c>
      <c r="D190">
        <v>19.45</v>
      </c>
      <c r="E190">
        <v>0</v>
      </c>
      <c r="F190" t="s">
        <v>7</v>
      </c>
      <c r="G190" t="s">
        <v>8</v>
      </c>
    </row>
    <row r="191" spans="1:7" x14ac:dyDescent="0.25">
      <c r="A191">
        <v>3523</v>
      </c>
      <c r="B191">
        <v>9.5699999999999995E-4</v>
      </c>
      <c r="C191">
        <v>0.129</v>
      </c>
      <c r="D191">
        <v>16.350000000000001</v>
      </c>
      <c r="E191">
        <v>0</v>
      </c>
      <c r="F191" t="s">
        <v>7</v>
      </c>
      <c r="G191" t="s">
        <v>8</v>
      </c>
    </row>
    <row r="192" spans="1:7" x14ac:dyDescent="0.25">
      <c r="A192">
        <v>3462</v>
      </c>
      <c r="B192">
        <v>5.3E-3</v>
      </c>
      <c r="C192">
        <v>0.14799999999999999</v>
      </c>
      <c r="D192">
        <v>11.47</v>
      </c>
      <c r="E192">
        <v>1</v>
      </c>
      <c r="F192" t="s">
        <v>7</v>
      </c>
      <c r="G192" t="s">
        <v>8</v>
      </c>
    </row>
    <row r="193" spans="1:7" x14ac:dyDescent="0.25">
      <c r="A193">
        <v>3257</v>
      </c>
      <c r="B193">
        <v>2.3999999999999998E-3</v>
      </c>
      <c r="C193">
        <v>0.46</v>
      </c>
      <c r="D193">
        <v>10.73</v>
      </c>
      <c r="E193">
        <v>1</v>
      </c>
      <c r="F193" t="s">
        <v>7</v>
      </c>
      <c r="G193" t="s">
        <v>8</v>
      </c>
    </row>
    <row r="194" spans="1:7" x14ac:dyDescent="0.25">
      <c r="A194">
        <v>2994</v>
      </c>
      <c r="B194">
        <v>7.1999999999999998E-3</v>
      </c>
      <c r="C194">
        <v>0.28000000000000003</v>
      </c>
      <c r="D194">
        <v>13.45</v>
      </c>
      <c r="E194">
        <v>1</v>
      </c>
      <c r="F194" t="s">
        <v>7</v>
      </c>
      <c r="G194" t="s">
        <v>8</v>
      </c>
    </row>
    <row r="195" spans="1:7" x14ac:dyDescent="0.25">
      <c r="A195">
        <v>3212</v>
      </c>
      <c r="B195">
        <v>1.6000000000000001E-3</v>
      </c>
      <c r="C195">
        <v>0.378</v>
      </c>
      <c r="D195">
        <v>12.853999999999999</v>
      </c>
      <c r="E195">
        <v>1</v>
      </c>
      <c r="F195" t="s">
        <v>7</v>
      </c>
      <c r="G195" t="s">
        <v>8</v>
      </c>
    </row>
    <row r="196" spans="1:7" x14ac:dyDescent="0.25">
      <c r="A196">
        <v>3523</v>
      </c>
      <c r="B196">
        <v>5.4000000000000003E-3</v>
      </c>
      <c r="C196">
        <v>0.31900000000000001</v>
      </c>
      <c r="D196">
        <v>12.43</v>
      </c>
      <c r="E196">
        <v>1</v>
      </c>
      <c r="F196" t="s">
        <v>7</v>
      </c>
      <c r="G196" t="s">
        <v>8</v>
      </c>
    </row>
    <row r="197" spans="1:7" x14ac:dyDescent="0.25">
      <c r="A197">
        <v>3598</v>
      </c>
      <c r="B197">
        <v>2.7000000000000001E-3</v>
      </c>
      <c r="C197">
        <v>0.67</v>
      </c>
      <c r="D197">
        <v>13.667</v>
      </c>
      <c r="E197">
        <v>1</v>
      </c>
      <c r="F197" t="s">
        <v>7</v>
      </c>
      <c r="G197" t="s">
        <v>8</v>
      </c>
    </row>
    <row r="198" spans="1:7" x14ac:dyDescent="0.25">
      <c r="A198">
        <v>3142</v>
      </c>
      <c r="B198">
        <v>1.32E-3</v>
      </c>
      <c r="C198">
        <v>0.25800000000000001</v>
      </c>
      <c r="D198">
        <v>14.12</v>
      </c>
      <c r="E198">
        <v>1</v>
      </c>
      <c r="F198" t="s">
        <v>7</v>
      </c>
      <c r="G198" t="s">
        <v>8</v>
      </c>
    </row>
    <row r="199" spans="1:7" x14ac:dyDescent="0.25">
      <c r="A199">
        <v>3496</v>
      </c>
      <c r="B199">
        <v>1.25E-3</v>
      </c>
      <c r="C199">
        <v>0.33600000000000002</v>
      </c>
      <c r="D199">
        <v>14.94</v>
      </c>
      <c r="E199">
        <v>1</v>
      </c>
      <c r="F199" t="s">
        <v>7</v>
      </c>
      <c r="G199" t="s">
        <v>8</v>
      </c>
    </row>
    <row r="200" spans="1:7" x14ac:dyDescent="0.25">
      <c r="A200">
        <v>3324</v>
      </c>
      <c r="B200">
        <v>6.4999999999999997E-3</v>
      </c>
      <c r="C200">
        <v>0.47099999999999997</v>
      </c>
      <c r="D200">
        <v>12.78</v>
      </c>
      <c r="E200">
        <v>1</v>
      </c>
      <c r="F200" t="s">
        <v>7</v>
      </c>
      <c r="G200" t="s">
        <v>8</v>
      </c>
    </row>
    <row r="201" spans="1:7" x14ac:dyDescent="0.25">
      <c r="A201">
        <v>3463</v>
      </c>
      <c r="B201">
        <v>2.7000000000000001E-3</v>
      </c>
      <c r="C201">
        <v>0.67500000000000004</v>
      </c>
      <c r="D201">
        <v>14.776</v>
      </c>
      <c r="E201">
        <v>1</v>
      </c>
      <c r="F201" t="s">
        <v>7</v>
      </c>
      <c r="G201" t="s">
        <v>8</v>
      </c>
    </row>
    <row r="202" spans="1:7" x14ac:dyDescent="0.25">
      <c r="A202">
        <v>16790</v>
      </c>
      <c r="B202">
        <v>1.4E-3</v>
      </c>
      <c r="C202">
        <v>1.21E-2</v>
      </c>
      <c r="D202">
        <v>12.87</v>
      </c>
      <c r="E202">
        <v>2</v>
      </c>
      <c r="F202" t="s">
        <v>15</v>
      </c>
      <c r="G202" t="s">
        <v>10</v>
      </c>
    </row>
    <row r="203" spans="1:7" x14ac:dyDescent="0.25">
      <c r="A203">
        <v>15680</v>
      </c>
      <c r="B203">
        <v>1.2199999999999999E-3</v>
      </c>
      <c r="C203">
        <v>1.14E-2</v>
      </c>
      <c r="D203">
        <v>11.92</v>
      </c>
      <c r="E203">
        <v>2</v>
      </c>
      <c r="F203" t="s">
        <v>15</v>
      </c>
      <c r="G203" t="s">
        <v>10</v>
      </c>
    </row>
    <row r="204" spans="1:7" x14ac:dyDescent="0.25">
      <c r="A204">
        <v>14982</v>
      </c>
      <c r="B204">
        <v>1.1800000000000001E-3</v>
      </c>
      <c r="C204">
        <v>1.1299999999999999E-2</v>
      </c>
      <c r="D204">
        <v>12.23</v>
      </c>
      <c r="E204">
        <v>2</v>
      </c>
      <c r="F204" t="s">
        <v>15</v>
      </c>
      <c r="G204" t="s">
        <v>10</v>
      </c>
    </row>
    <row r="205" spans="1:7" x14ac:dyDescent="0.25">
      <c r="A205">
        <v>13340</v>
      </c>
      <c r="B205">
        <v>1.09E-3</v>
      </c>
      <c r="C205">
        <v>1.1599999999999999E-2</v>
      </c>
      <c r="D205">
        <v>12.9</v>
      </c>
      <c r="E205">
        <v>2</v>
      </c>
      <c r="F205" t="s">
        <v>15</v>
      </c>
      <c r="G205" t="s">
        <v>10</v>
      </c>
    </row>
    <row r="206" spans="1:7" x14ac:dyDescent="0.25">
      <c r="A206">
        <v>18340</v>
      </c>
      <c r="B206">
        <v>1.34E-3</v>
      </c>
      <c r="C206">
        <v>1.24E-2</v>
      </c>
      <c r="D206">
        <v>11.22</v>
      </c>
      <c r="E206">
        <v>2</v>
      </c>
      <c r="F206" t="s">
        <v>15</v>
      </c>
      <c r="G206" t="s">
        <v>10</v>
      </c>
    </row>
    <row r="207" spans="1:7" x14ac:dyDescent="0.25">
      <c r="A207">
        <v>19920</v>
      </c>
      <c r="B207">
        <v>1.56E-3</v>
      </c>
      <c r="C207">
        <v>1.4200000000000001E-2</v>
      </c>
      <c r="D207">
        <v>11.34</v>
      </c>
      <c r="E207">
        <v>2</v>
      </c>
      <c r="F207" t="s">
        <v>15</v>
      </c>
      <c r="G207" t="s">
        <v>10</v>
      </c>
    </row>
    <row r="208" spans="1:7" x14ac:dyDescent="0.25">
      <c r="A208">
        <v>24020</v>
      </c>
      <c r="B208">
        <v>1.5900000000000001E-3</v>
      </c>
      <c r="C208">
        <v>1.2699999999999999E-2</v>
      </c>
      <c r="D208">
        <v>10.55</v>
      </c>
      <c r="E208">
        <v>2</v>
      </c>
      <c r="F208" t="s">
        <v>15</v>
      </c>
      <c r="G208" t="s">
        <v>10</v>
      </c>
    </row>
    <row r="209" spans="1:7" x14ac:dyDescent="0.25">
      <c r="A209">
        <v>23092</v>
      </c>
      <c r="B209">
        <v>1.32E-3</v>
      </c>
      <c r="C209">
        <v>1.04E-2</v>
      </c>
      <c r="D209">
        <v>10.18</v>
      </c>
      <c r="E209">
        <v>2</v>
      </c>
      <c r="F209" t="s">
        <v>15</v>
      </c>
      <c r="G209" t="s">
        <v>10</v>
      </c>
    </row>
    <row r="210" spans="1:7" x14ac:dyDescent="0.25">
      <c r="A210">
        <v>17920</v>
      </c>
      <c r="B210">
        <v>1.1100000000000001E-3</v>
      </c>
      <c r="C210">
        <v>1.06E-2</v>
      </c>
      <c r="D210">
        <v>11.66</v>
      </c>
      <c r="E210">
        <v>2</v>
      </c>
      <c r="F210" t="s">
        <v>15</v>
      </c>
      <c r="G210" t="s">
        <v>10</v>
      </c>
    </row>
    <row r="211" spans="1:7" x14ac:dyDescent="0.25">
      <c r="A211">
        <v>19360</v>
      </c>
      <c r="B211">
        <v>1.25E-3</v>
      </c>
      <c r="C211">
        <v>9.9799999999999993E-3</v>
      </c>
      <c r="D211">
        <v>11.62</v>
      </c>
      <c r="E211">
        <v>2</v>
      </c>
      <c r="F211" t="s">
        <v>15</v>
      </c>
      <c r="G211" t="s">
        <v>10</v>
      </c>
    </row>
    <row r="212" spans="1:7" x14ac:dyDescent="0.25">
      <c r="A212">
        <v>22350</v>
      </c>
      <c r="B212">
        <v>12450</v>
      </c>
      <c r="C212">
        <v>6.36</v>
      </c>
      <c r="D212">
        <v>-3.67</v>
      </c>
      <c r="E212">
        <v>3</v>
      </c>
      <c r="F212" t="s">
        <v>9</v>
      </c>
      <c r="G212" t="s">
        <v>10</v>
      </c>
    </row>
    <row r="213" spans="1:7" x14ac:dyDescent="0.25">
      <c r="A213">
        <v>10012</v>
      </c>
      <c r="B213">
        <v>552</v>
      </c>
      <c r="C213">
        <v>5.8559999999999999</v>
      </c>
      <c r="D213">
        <v>1.2999999999999999E-2</v>
      </c>
      <c r="E213">
        <v>3</v>
      </c>
      <c r="F213" t="s">
        <v>9</v>
      </c>
      <c r="G213" t="s">
        <v>12</v>
      </c>
    </row>
    <row r="214" spans="1:7" x14ac:dyDescent="0.25">
      <c r="A214">
        <v>13089</v>
      </c>
      <c r="B214">
        <v>788</v>
      </c>
      <c r="C214">
        <v>5.992</v>
      </c>
      <c r="D214">
        <v>-0.12</v>
      </c>
      <c r="E214">
        <v>3</v>
      </c>
      <c r="F214" t="s">
        <v>9</v>
      </c>
      <c r="G214" t="s">
        <v>12</v>
      </c>
    </row>
    <row r="215" spans="1:7" x14ac:dyDescent="0.25">
      <c r="A215">
        <v>22012</v>
      </c>
      <c r="B215">
        <v>6748</v>
      </c>
      <c r="C215">
        <v>6.64</v>
      </c>
      <c r="D215">
        <v>-2.5499999999999998</v>
      </c>
      <c r="E215">
        <v>3</v>
      </c>
      <c r="F215" t="s">
        <v>9</v>
      </c>
      <c r="G215" t="s">
        <v>10</v>
      </c>
    </row>
    <row r="216" spans="1:7" x14ac:dyDescent="0.25">
      <c r="A216">
        <v>34190</v>
      </c>
      <c r="B216">
        <v>198200</v>
      </c>
      <c r="C216">
        <v>6.39</v>
      </c>
      <c r="D216">
        <v>-4.57</v>
      </c>
      <c r="E216">
        <v>3</v>
      </c>
      <c r="F216" t="s">
        <v>15</v>
      </c>
      <c r="G216" t="s">
        <v>16</v>
      </c>
    </row>
    <row r="217" spans="1:7" x14ac:dyDescent="0.25">
      <c r="A217">
        <v>32460</v>
      </c>
      <c r="B217">
        <v>173800</v>
      </c>
      <c r="C217">
        <v>6.2370000000000001</v>
      </c>
      <c r="D217">
        <v>-4.3600000000000003</v>
      </c>
      <c r="E217">
        <v>3</v>
      </c>
      <c r="F217" t="s">
        <v>15</v>
      </c>
      <c r="G217" t="s">
        <v>16</v>
      </c>
    </row>
    <row r="218" spans="1:7" x14ac:dyDescent="0.25">
      <c r="A218">
        <v>9320</v>
      </c>
      <c r="B218">
        <v>29</v>
      </c>
      <c r="C218">
        <v>1.91</v>
      </c>
      <c r="D218">
        <v>1.236</v>
      </c>
      <c r="E218">
        <v>3</v>
      </c>
      <c r="F218" t="s">
        <v>9</v>
      </c>
      <c r="G218" t="s">
        <v>12</v>
      </c>
    </row>
    <row r="219" spans="1:7" x14ac:dyDescent="0.25">
      <c r="A219">
        <v>19400</v>
      </c>
      <c r="B219">
        <v>10920</v>
      </c>
      <c r="C219">
        <v>6.03</v>
      </c>
      <c r="D219">
        <v>-3.08</v>
      </c>
      <c r="E219">
        <v>3</v>
      </c>
      <c r="F219" t="s">
        <v>9</v>
      </c>
      <c r="G219" t="s">
        <v>10</v>
      </c>
    </row>
    <row r="220" spans="1:7" x14ac:dyDescent="0.25">
      <c r="A220">
        <v>17140</v>
      </c>
      <c r="B220">
        <v>883</v>
      </c>
      <c r="C220">
        <v>5.6529999999999996</v>
      </c>
      <c r="D220">
        <v>-2.64</v>
      </c>
      <c r="E220">
        <v>3</v>
      </c>
      <c r="F220" t="s">
        <v>9</v>
      </c>
      <c r="G220" t="s">
        <v>10</v>
      </c>
    </row>
    <row r="221" spans="1:7" x14ac:dyDescent="0.25">
      <c r="A221">
        <v>8250</v>
      </c>
      <c r="B221">
        <v>9.25</v>
      </c>
      <c r="C221">
        <v>1.93</v>
      </c>
      <c r="D221">
        <v>-0.98</v>
      </c>
      <c r="E221">
        <v>3</v>
      </c>
      <c r="F221" t="s">
        <v>14</v>
      </c>
      <c r="G221" t="s">
        <v>13</v>
      </c>
    </row>
    <row r="222" spans="1:7" x14ac:dyDescent="0.25">
      <c r="A222">
        <v>23678</v>
      </c>
      <c r="B222">
        <v>244290</v>
      </c>
      <c r="C222">
        <v>35</v>
      </c>
      <c r="D222">
        <v>-6.27</v>
      </c>
      <c r="E222">
        <v>4</v>
      </c>
      <c r="F222" t="s">
        <v>15</v>
      </c>
      <c r="G222" t="s">
        <v>16</v>
      </c>
    </row>
    <row r="223" spans="1:7" x14ac:dyDescent="0.25">
      <c r="A223">
        <v>12749</v>
      </c>
      <c r="B223">
        <v>332520</v>
      </c>
      <c r="C223">
        <v>76</v>
      </c>
      <c r="D223">
        <v>-7.02</v>
      </c>
      <c r="E223">
        <v>4</v>
      </c>
      <c r="F223" t="s">
        <v>15</v>
      </c>
      <c r="G223" t="s">
        <v>16</v>
      </c>
    </row>
    <row r="224" spans="1:7" x14ac:dyDescent="0.25">
      <c r="A224">
        <v>9383</v>
      </c>
      <c r="B224">
        <v>342940</v>
      </c>
      <c r="C224">
        <v>98</v>
      </c>
      <c r="D224">
        <v>-6.98</v>
      </c>
      <c r="E224">
        <v>4</v>
      </c>
      <c r="F224" t="s">
        <v>15</v>
      </c>
      <c r="G224" t="s">
        <v>16</v>
      </c>
    </row>
    <row r="225" spans="1:7" x14ac:dyDescent="0.25">
      <c r="A225">
        <v>23440</v>
      </c>
      <c r="B225">
        <v>537430</v>
      </c>
      <c r="C225">
        <v>81</v>
      </c>
      <c r="D225">
        <v>-5.9749999999999996</v>
      </c>
      <c r="E225">
        <v>4</v>
      </c>
      <c r="F225" t="s">
        <v>15</v>
      </c>
      <c r="G225" t="s">
        <v>16</v>
      </c>
    </row>
    <row r="226" spans="1:7" x14ac:dyDescent="0.25">
      <c r="A226">
        <v>16787</v>
      </c>
      <c r="B226">
        <v>246730</v>
      </c>
      <c r="C226">
        <v>62</v>
      </c>
      <c r="D226">
        <v>-6.35</v>
      </c>
      <c r="E226">
        <v>4</v>
      </c>
      <c r="F226" t="s">
        <v>15</v>
      </c>
      <c r="G226" t="s">
        <v>16</v>
      </c>
    </row>
    <row r="227" spans="1:7" x14ac:dyDescent="0.25">
      <c r="A227">
        <v>18734</v>
      </c>
      <c r="B227">
        <v>224780</v>
      </c>
      <c r="C227">
        <v>46</v>
      </c>
      <c r="D227">
        <v>-7.45</v>
      </c>
      <c r="E227">
        <v>4</v>
      </c>
      <c r="F227" t="s">
        <v>15</v>
      </c>
      <c r="G227" t="s">
        <v>16</v>
      </c>
    </row>
    <row r="228" spans="1:7" x14ac:dyDescent="0.25">
      <c r="A228">
        <v>9892</v>
      </c>
      <c r="B228">
        <v>593900</v>
      </c>
      <c r="C228">
        <v>80</v>
      </c>
      <c r="D228">
        <v>-7.2619999999999996</v>
      </c>
      <c r="E228">
        <v>4</v>
      </c>
      <c r="F228" t="s">
        <v>15</v>
      </c>
      <c r="G228" t="s">
        <v>16</v>
      </c>
    </row>
    <row r="229" spans="1:7" x14ac:dyDescent="0.25">
      <c r="A229">
        <v>10930</v>
      </c>
      <c r="B229">
        <v>783930</v>
      </c>
      <c r="C229">
        <v>25</v>
      </c>
      <c r="D229">
        <v>-6.2240000000000002</v>
      </c>
      <c r="E229">
        <v>4</v>
      </c>
      <c r="F229" t="s">
        <v>15</v>
      </c>
      <c r="G229" t="s">
        <v>16</v>
      </c>
    </row>
    <row r="230" spans="1:7" x14ac:dyDescent="0.25">
      <c r="A230">
        <v>23095</v>
      </c>
      <c r="B230">
        <v>347820</v>
      </c>
      <c r="C230">
        <v>86</v>
      </c>
      <c r="D230">
        <v>-5.9050000000000002</v>
      </c>
      <c r="E230">
        <v>4</v>
      </c>
      <c r="F230" t="s">
        <v>15</v>
      </c>
      <c r="G230" t="s">
        <v>16</v>
      </c>
    </row>
    <row r="231" spans="1:7" x14ac:dyDescent="0.25">
      <c r="A231">
        <v>21738</v>
      </c>
      <c r="B231">
        <v>748890</v>
      </c>
      <c r="C231">
        <v>92</v>
      </c>
      <c r="D231">
        <v>-7.3460000000000001</v>
      </c>
      <c r="E231">
        <v>4</v>
      </c>
      <c r="F231" t="s">
        <v>15</v>
      </c>
      <c r="G231" t="s">
        <v>16</v>
      </c>
    </row>
    <row r="232" spans="1:7" x14ac:dyDescent="0.25">
      <c r="A232">
        <v>24145</v>
      </c>
      <c r="B232">
        <v>382993</v>
      </c>
      <c r="C232">
        <v>1494</v>
      </c>
      <c r="D232">
        <v>-8.84</v>
      </c>
      <c r="E232">
        <v>5</v>
      </c>
      <c r="F232" t="s">
        <v>9</v>
      </c>
      <c r="G232" t="s">
        <v>10</v>
      </c>
    </row>
    <row r="233" spans="1:7" x14ac:dyDescent="0.25">
      <c r="A233">
        <v>38234</v>
      </c>
      <c r="B233">
        <v>272830</v>
      </c>
      <c r="C233">
        <v>1356</v>
      </c>
      <c r="D233">
        <v>-9.2899999999999991</v>
      </c>
      <c r="E233">
        <v>5</v>
      </c>
      <c r="F233" t="s">
        <v>15</v>
      </c>
      <c r="G233" t="s">
        <v>16</v>
      </c>
    </row>
    <row r="234" spans="1:7" x14ac:dyDescent="0.25">
      <c r="A234">
        <v>32489</v>
      </c>
      <c r="B234">
        <v>648430</v>
      </c>
      <c r="C234">
        <v>1948.5</v>
      </c>
      <c r="D234">
        <v>-10.84</v>
      </c>
      <c r="E234">
        <v>5</v>
      </c>
      <c r="F234" t="s">
        <v>15</v>
      </c>
      <c r="G234" t="s">
        <v>16</v>
      </c>
    </row>
    <row r="235" spans="1:7" x14ac:dyDescent="0.25">
      <c r="A235">
        <v>27739</v>
      </c>
      <c r="B235">
        <v>849420</v>
      </c>
      <c r="C235">
        <v>1252</v>
      </c>
      <c r="D235">
        <v>-7.59</v>
      </c>
      <c r="E235">
        <v>5</v>
      </c>
      <c r="F235" t="s">
        <v>9</v>
      </c>
      <c r="G235" t="s">
        <v>10</v>
      </c>
    </row>
    <row r="236" spans="1:7" x14ac:dyDescent="0.25">
      <c r="A236">
        <v>21904</v>
      </c>
      <c r="B236">
        <v>748490</v>
      </c>
      <c r="C236">
        <v>1130</v>
      </c>
      <c r="D236">
        <v>-7.67</v>
      </c>
      <c r="E236">
        <v>5</v>
      </c>
      <c r="F236" t="s">
        <v>9</v>
      </c>
      <c r="G236" t="s">
        <v>10</v>
      </c>
    </row>
    <row r="237" spans="1:7" x14ac:dyDescent="0.25">
      <c r="A237">
        <v>38940</v>
      </c>
      <c r="B237">
        <v>374830</v>
      </c>
      <c r="C237">
        <v>1356</v>
      </c>
      <c r="D237">
        <v>-9.93</v>
      </c>
      <c r="E237">
        <v>5</v>
      </c>
      <c r="F237" t="s">
        <v>15</v>
      </c>
      <c r="G237" t="s">
        <v>16</v>
      </c>
    </row>
    <row r="238" spans="1:7" x14ac:dyDescent="0.25">
      <c r="A238">
        <v>30839</v>
      </c>
      <c r="B238">
        <v>834042</v>
      </c>
      <c r="C238">
        <v>1194</v>
      </c>
      <c r="D238">
        <v>-10.63</v>
      </c>
      <c r="E238">
        <v>5</v>
      </c>
      <c r="F238" t="s">
        <v>15</v>
      </c>
      <c r="G238" t="s">
        <v>16</v>
      </c>
    </row>
    <row r="239" spans="1:7" x14ac:dyDescent="0.25">
      <c r="A239">
        <v>8829</v>
      </c>
      <c r="B239">
        <v>537493</v>
      </c>
      <c r="C239">
        <v>1423</v>
      </c>
      <c r="D239">
        <v>-10.73</v>
      </c>
      <c r="E239">
        <v>5</v>
      </c>
      <c r="F239" t="s">
        <v>11</v>
      </c>
      <c r="G239" t="s">
        <v>12</v>
      </c>
    </row>
    <row r="240" spans="1:7" x14ac:dyDescent="0.25">
      <c r="A240">
        <v>9235</v>
      </c>
      <c r="B240">
        <v>404940</v>
      </c>
      <c r="C240">
        <v>1112</v>
      </c>
      <c r="D240">
        <v>-11.23</v>
      </c>
      <c r="E240">
        <v>5</v>
      </c>
      <c r="F240" t="s">
        <v>11</v>
      </c>
      <c r="G240" t="s">
        <v>12</v>
      </c>
    </row>
    <row r="241" spans="1:7" x14ac:dyDescent="0.25">
      <c r="A241">
        <v>37882</v>
      </c>
      <c r="B241">
        <v>294903</v>
      </c>
      <c r="C241">
        <v>1783</v>
      </c>
      <c r="D241">
        <v>-7.8</v>
      </c>
      <c r="E241">
        <v>5</v>
      </c>
      <c r="F241" t="s">
        <v>15</v>
      </c>
      <c r="G241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822134-CE63-453F-95AC-26E67678EC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Charts</vt:lpstr>
      <vt:lpstr>Worksheet</vt:lpstr>
      <vt:lpstr>cleaned_star_data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McKelvey</dc:creator>
  <cp:lastModifiedBy>Samuel McKelvey</cp:lastModifiedBy>
  <dcterms:created xsi:type="dcterms:W3CDTF">2024-01-23T22:20:08Z</dcterms:created>
  <dcterms:modified xsi:type="dcterms:W3CDTF">2024-08-14T08:07:50Z</dcterms:modified>
</cp:coreProperties>
</file>